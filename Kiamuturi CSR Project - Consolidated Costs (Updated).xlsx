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ZGM6E\Documents\Work\Kiamuturi Nursery Project\"/>
    </mc:Choice>
  </mc:AlternateContent>
  <xr:revisionPtr revIDLastSave="0" documentId="13_ncr:1_{2C024AE4-4B82-4C3E-93F8-68786EC02EBD}" xr6:coauthVersionLast="47" xr6:coauthVersionMax="47" xr10:uidLastSave="{00000000-0000-0000-0000-000000000000}"/>
  <bookViews>
    <workbookView xWindow="-110" yWindow="-110" windowWidth="19420" windowHeight="10300" activeTab="1" xr2:uid="{65E04B01-4358-4A18-B53A-409E44FA4236}"/>
  </bookViews>
  <sheets>
    <sheet name="Cover Page" sheetId="2" r:id="rId1"/>
    <sheet name="Costs - Updated" sheetId="5" r:id="rId2"/>
    <sheet name="Dropdown" sheetId="6" r:id="rId3"/>
  </sheets>
  <definedNames>
    <definedName name="_xlnm.Print_Area" localSheetId="1">'Costs - Updated'!$B$2:$I$152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3" i="5" l="1"/>
  <c r="H125" i="5"/>
  <c r="H127" i="5" s="1"/>
  <c r="H126" i="5"/>
  <c r="I86" i="5"/>
  <c r="H142" i="5"/>
  <c r="H141" i="5"/>
  <c r="H140" i="5"/>
  <c r="H139" i="5"/>
  <c r="H143" i="5" l="1"/>
  <c r="H135" i="5"/>
  <c r="H119" i="5"/>
  <c r="H93" i="5"/>
  <c r="H109" i="5"/>
  <c r="H105" i="5"/>
  <c r="H123" i="5"/>
  <c r="H122" i="5"/>
  <c r="H121" i="5"/>
  <c r="H120" i="5"/>
  <c r="H89" i="5"/>
  <c r="H134" i="5"/>
  <c r="H86" i="5"/>
  <c r="H118" i="5"/>
  <c r="H117" i="5"/>
  <c r="H116" i="5"/>
  <c r="H115" i="5"/>
  <c r="H114" i="5"/>
  <c r="H113" i="5"/>
  <c r="H112" i="5"/>
  <c r="H85" i="5"/>
  <c r="H111" i="5"/>
  <c r="H133" i="5"/>
  <c r="H110" i="5"/>
  <c r="H84" i="5"/>
  <c r="H83" i="5"/>
  <c r="H104" i="5"/>
  <c r="H98" i="5"/>
  <c r="H92" i="5" l="1"/>
  <c r="H91" i="5"/>
  <c r="H90" i="5"/>
  <c r="H55" i="5"/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24" i="5"/>
  <c r="H25" i="5"/>
  <c r="H26" i="5"/>
  <c r="H23" i="5"/>
  <c r="H5" i="5"/>
  <c r="H81" i="5"/>
  <c r="J73" i="5" l="1"/>
  <c r="H108" i="5" l="1"/>
  <c r="H132" i="5" l="1"/>
  <c r="H131" i="5"/>
  <c r="H22" i="5"/>
  <c r="H21" i="5"/>
  <c r="H78" i="5"/>
  <c r="H79" i="5"/>
  <c r="H80" i="5"/>
  <c r="H75" i="5"/>
  <c r="H74" i="5"/>
  <c r="H76" i="5"/>
  <c r="H102" i="5"/>
  <c r="H107" i="5"/>
  <c r="H106" i="5"/>
  <c r="H103" i="5"/>
  <c r="H101" i="5"/>
  <c r="H100" i="5"/>
  <c r="H99" i="5"/>
  <c r="H82" i="5"/>
  <c r="H145" i="5" l="1"/>
  <c r="H136" i="5"/>
  <c r="J145" i="5"/>
  <c r="L145" i="5" s="1"/>
  <c r="H95" i="5"/>
  <c r="H144" i="5" l="1"/>
  <c r="H146" i="5" s="1"/>
</calcChain>
</file>

<file path=xl/sharedStrings.xml><?xml version="1.0" encoding="utf-8"?>
<sst xmlns="http://schemas.openxmlformats.org/spreadsheetml/2006/main" count="517" uniqueCount="173">
  <si>
    <t>Quantity</t>
  </si>
  <si>
    <t>UoM</t>
  </si>
  <si>
    <t>KIAMUTURI NURSERY 
CSR PROJECT 
MATERIAL AND LABOUR 
COSTS</t>
  </si>
  <si>
    <t>Item Description</t>
  </si>
  <si>
    <t>No.</t>
  </si>
  <si>
    <t>Special Sand</t>
  </si>
  <si>
    <t>Ordinary Ballast</t>
  </si>
  <si>
    <t>Feet</t>
  </si>
  <si>
    <t>Cement</t>
  </si>
  <si>
    <t>Lorries (7 tonnes)</t>
  </si>
  <si>
    <t>Bags (50 kg)</t>
  </si>
  <si>
    <t>Stone (6 × 9")</t>
  </si>
  <si>
    <t>Unit Cost (KShs)</t>
  </si>
  <si>
    <t>LABOUR COSTS</t>
  </si>
  <si>
    <t>MATERIAL COSTS</t>
  </si>
  <si>
    <t>Total Cost(KShs)</t>
  </si>
  <si>
    <t>KIAMUTURI NURSERY CSR PROJECT MATERIAL AND LABOUR COSTS</t>
  </si>
  <si>
    <t>Subtotal for Labour Costs</t>
  </si>
  <si>
    <t>Subtotal for Material Costs:</t>
  </si>
  <si>
    <t>Barbed Wire</t>
  </si>
  <si>
    <t>Rolls</t>
  </si>
  <si>
    <t>Date of Purchase</t>
  </si>
  <si>
    <t>Chain Link (6 ft)</t>
  </si>
  <si>
    <t>Measuring Tape (Foot Kamba)</t>
  </si>
  <si>
    <t>Pcs</t>
  </si>
  <si>
    <t>U Nails</t>
  </si>
  <si>
    <t>Hammer</t>
  </si>
  <si>
    <t>Hand Saw</t>
  </si>
  <si>
    <t>Kg</t>
  </si>
  <si>
    <t>Roofing Nails</t>
  </si>
  <si>
    <t>2" Nails</t>
  </si>
  <si>
    <t>Manilla Rope</t>
  </si>
  <si>
    <t>Sheet Metal Shears</t>
  </si>
  <si>
    <t>Pairs</t>
  </si>
  <si>
    <t>GI Nipple (1 ½")</t>
  </si>
  <si>
    <t>Gate Valve (1½")</t>
  </si>
  <si>
    <t>GI Union (1½")</t>
  </si>
  <si>
    <t>HDPE Coupling (1½")</t>
  </si>
  <si>
    <t>Saddle Clamp (1½ × 1" )</t>
  </si>
  <si>
    <t>GI Nipple -  1"</t>
  </si>
  <si>
    <t>Gate Valve (1")</t>
  </si>
  <si>
    <t>GI Union (1")</t>
  </si>
  <si>
    <t>GI Elbow (1")</t>
  </si>
  <si>
    <t>GI Socket (1")</t>
  </si>
  <si>
    <t>GI Long Thread Nipple (1")</t>
  </si>
  <si>
    <t>Back Nut (1")</t>
  </si>
  <si>
    <t>Washer (1")</t>
  </si>
  <si>
    <t>Ball Valve (1")</t>
  </si>
  <si>
    <t>HDPE Pipe (1")</t>
  </si>
  <si>
    <t>Back Nut (¾")</t>
  </si>
  <si>
    <t>Washer (¾")</t>
  </si>
  <si>
    <t>Gate Valve (¾")</t>
  </si>
  <si>
    <t>GI Nipple (¾")</t>
  </si>
  <si>
    <t>GI Union (¾")</t>
  </si>
  <si>
    <t>GI Tee (¾")</t>
  </si>
  <si>
    <t>GI Elbow (¾")</t>
  </si>
  <si>
    <t>Bib Tap (¾")</t>
  </si>
  <si>
    <t>Stand (¾") - 3 ft</t>
  </si>
  <si>
    <t>Socket (¾")</t>
  </si>
  <si>
    <t>PPR Pipe (¾")</t>
  </si>
  <si>
    <t>GI Nipple (½")</t>
  </si>
  <si>
    <t>GI Union (½")</t>
  </si>
  <si>
    <t>Gate Valve (½")</t>
  </si>
  <si>
    <t>Stand (½") - 3 ft</t>
  </si>
  <si>
    <t>GI Elbow (½")</t>
  </si>
  <si>
    <t>Bib Tap (½")</t>
  </si>
  <si>
    <t>PPR Pipe (½")</t>
  </si>
  <si>
    <t>Thread Tape</t>
  </si>
  <si>
    <t>Hinges jua kali</t>
  </si>
  <si>
    <t>Neck tower bolt 4 inch</t>
  </si>
  <si>
    <t>Alm tower bolt</t>
  </si>
  <si>
    <t>T Hinges 4 inches</t>
  </si>
  <si>
    <t>Galvanised wire 12G</t>
  </si>
  <si>
    <t>Binding wire 20KG</t>
  </si>
  <si>
    <t>LM</t>
  </si>
  <si>
    <t>pcs</t>
  </si>
  <si>
    <t>Nylon Fundi rope</t>
  </si>
  <si>
    <t>Mason</t>
  </si>
  <si>
    <t>Assistant Mason</t>
  </si>
  <si>
    <t>Carpenter</t>
  </si>
  <si>
    <t>Plumber</t>
  </si>
  <si>
    <t>Bed Runners</t>
  </si>
  <si>
    <t>Assistant Carpenter</t>
  </si>
  <si>
    <t>Bags</t>
  </si>
  <si>
    <t>Transaction Fees</t>
  </si>
  <si>
    <t>Man-days</t>
  </si>
  <si>
    <t>Timeline</t>
  </si>
  <si>
    <t>23/08/2024</t>
  </si>
  <si>
    <t>Description</t>
  </si>
  <si>
    <t>Kgs</t>
  </si>
  <si>
    <t>Ordinary Nails</t>
  </si>
  <si>
    <t>Red Oxide</t>
  </si>
  <si>
    <t>Casual Labourers (Fence Clearing)</t>
  </si>
  <si>
    <t>Silicon</t>
  </si>
  <si>
    <t>Tubes (250 ml)</t>
  </si>
  <si>
    <t>Transport</t>
  </si>
  <si>
    <t>20/8/2024</t>
  </si>
  <si>
    <t>7/8/2024 to 22/8/2024</t>
  </si>
  <si>
    <t>22/8/2024</t>
  </si>
  <si>
    <t>21/8/2024</t>
  </si>
  <si>
    <t>7/8/2024 to 15/8/2024</t>
  </si>
  <si>
    <t>17/8/2024</t>
  </si>
  <si>
    <t>Subtotal for Miscellaneous Costs</t>
  </si>
  <si>
    <t>Plumbing Fittings</t>
  </si>
  <si>
    <t>Trips</t>
  </si>
  <si>
    <t>Assortment</t>
  </si>
  <si>
    <t>23/8/2024</t>
  </si>
  <si>
    <t>(Casual Labourers) Filling of Seedling Bags</t>
  </si>
  <si>
    <t>Soil Preparation</t>
  </si>
  <si>
    <t>Tasks</t>
  </si>
  <si>
    <t>7/8/2024 to 23/8/2024</t>
  </si>
  <si>
    <t>Status</t>
  </si>
  <si>
    <t>Options</t>
  </si>
  <si>
    <t xml:space="preserve">Paid </t>
  </si>
  <si>
    <t>Unpaid</t>
  </si>
  <si>
    <t>Hand Gloves</t>
  </si>
  <si>
    <t>15/8/2024</t>
  </si>
  <si>
    <t>Ordinary Nails (3")</t>
  </si>
  <si>
    <t>Ordinary Nails (4")</t>
  </si>
  <si>
    <t>Saddle Clamp (3 × 1 ½")</t>
  </si>
  <si>
    <t>HDPE Pipes (1½")</t>
  </si>
  <si>
    <t>GI Long Threaded Nipple (¾")</t>
  </si>
  <si>
    <t>GI Bush (¾ × ½")</t>
  </si>
  <si>
    <t>Oxford Hinges - Quality</t>
  </si>
  <si>
    <t>30/7/2024</t>
  </si>
  <si>
    <t>31/7/2025</t>
  </si>
  <si>
    <t>KEY</t>
  </si>
  <si>
    <t>Paid Expense</t>
  </si>
  <si>
    <t>Unpaid Expense</t>
  </si>
  <si>
    <t xml:space="preserve">Amount Paid </t>
  </si>
  <si>
    <t>Amount Unpaid</t>
  </si>
  <si>
    <t>MISCELLANEOUS COSTS</t>
  </si>
  <si>
    <t>Plastic Seats</t>
  </si>
  <si>
    <t>GSSHG Signage</t>
  </si>
  <si>
    <t>Isuzu EA Foundation Sticker</t>
  </si>
  <si>
    <t>Main Nursery Signage</t>
  </si>
  <si>
    <t>4/8/2024 to 10/8/2024</t>
  </si>
  <si>
    <t>Project Supervision</t>
  </si>
  <si>
    <t>11/8/2024 to 17/8/2024</t>
  </si>
  <si>
    <t xml:space="preserve">Casual Labourers </t>
  </si>
  <si>
    <t>24/8/2024</t>
  </si>
  <si>
    <t>26/8/2024</t>
  </si>
  <si>
    <t>Casual Labourers (Seed Bed Preparation)</t>
  </si>
  <si>
    <t>Beds</t>
  </si>
  <si>
    <t>26/08/2024</t>
  </si>
  <si>
    <t>27/8/2024</t>
  </si>
  <si>
    <t>Painter</t>
  </si>
  <si>
    <t>28/8/2024 to 3/9/2024</t>
  </si>
  <si>
    <t>28/8/2024</t>
  </si>
  <si>
    <t>Plumbing Materials</t>
  </si>
  <si>
    <t>Sink</t>
  </si>
  <si>
    <t>Front Area Lanscaping Works</t>
  </si>
  <si>
    <t>Murraming</t>
  </si>
  <si>
    <t>Ceremony Preparations</t>
  </si>
  <si>
    <t>18/8/2024 to 24/8/2024</t>
  </si>
  <si>
    <t>25/8/2024 to 31/8/2024</t>
  </si>
  <si>
    <t>Murram</t>
  </si>
  <si>
    <t>Lorries</t>
  </si>
  <si>
    <t>1/9/2024 to 7/9/2024</t>
  </si>
  <si>
    <t>Water Installation and Connection Fee</t>
  </si>
  <si>
    <t>Lot</t>
  </si>
  <si>
    <t>REQUIRED ITEMS</t>
  </si>
  <si>
    <t>Seeds</t>
  </si>
  <si>
    <t>Unprocured</t>
  </si>
  <si>
    <t>TBD</t>
  </si>
  <si>
    <t>Planting Tubes (Seedling Bags)</t>
  </si>
  <si>
    <t>Casual Labourers (Seedling Bags Filling)</t>
  </si>
  <si>
    <t>Total for Materials, Labour,  Miscellaneous Costs and Labour</t>
  </si>
  <si>
    <t>24/08/2024</t>
  </si>
  <si>
    <t>Partly Paid</t>
  </si>
  <si>
    <t>Paid Labour Costs</t>
  </si>
  <si>
    <t>Unpaid Labour Costs</t>
  </si>
  <si>
    <t xml:space="preserve">Construction net 3 × 50m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</si>
</sst>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45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4"/>
      <color theme="1"/>
      <name val="Cambria"/>
      <family val="1"/>
    </font>
    <font>
      <u/>
      <sz val="11"/>
      <color theme="1"/>
      <name val="Cambria"/>
      <family val="1"/>
    </font>
    <font>
      <b/>
      <u val="double"/>
      <sz val="11"/>
      <color theme="1"/>
      <name val="Cambria"/>
      <family val="1"/>
    </font>
    <font>
      <b/>
      <u val="doubleAccounting"/>
      <sz val="11"/>
      <color theme="1"/>
      <name val="Cambria"/>
      <family val="1"/>
    </font>
    <font>
      <u val="singleAccounting"/>
      <sz val="11"/>
      <color theme="1"/>
      <name val="Cambria"/>
      <family val="1"/>
    </font>
    <font>
      <sz val="11"/>
      <color rgb="FFFF0000"/>
      <name val="Cambria"/>
      <family val="1"/>
    </font>
    <font>
      <sz val="8"/>
      <name val="Aptos Narrow"/>
      <family val="2"/>
      <scheme val="minor"/>
    </font>
    <font>
      <sz val="11"/>
      <name val="Cambria"/>
      <family val="1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 style="thick">
        <color rgb="FF1B0BB5"/>
      </left>
      <right/>
      <top style="thick">
        <color rgb="FF1B0BB5"/>
      </top>
      <bottom style="thick">
        <color rgb="FF1B0BB5"/>
      </bottom>
      <diagonal/>
    </border>
    <border>
      <left/>
      <right/>
      <top style="thick">
        <color rgb="FF1B0BB5"/>
      </top>
      <bottom style="thick">
        <color rgb="FF1B0BB5"/>
      </bottom>
      <diagonal/>
    </border>
    <border>
      <left/>
      <right style="thick">
        <color rgb="FF1B0BB5"/>
      </right>
      <top style="thick">
        <color rgb="FF1B0BB5"/>
      </top>
      <bottom style="thick">
        <color rgb="FF1B0BB5"/>
      </bottom>
      <diagonal/>
    </border>
    <border>
      <left style="thick">
        <color rgb="FF1B0BB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1B0BB5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rgb="FF1B0BB5"/>
      </left>
      <right/>
      <top style="thick">
        <color rgb="FF1B0BB5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ck">
        <color rgb="FF1B0BB5"/>
      </top>
      <bottom style="thick">
        <color rgb="FF1B0BB5"/>
      </bottom>
      <diagonal/>
    </border>
    <border>
      <left style="thin">
        <color theme="1"/>
      </left>
      <right style="thick">
        <color rgb="FF1B0BB5"/>
      </right>
      <top/>
      <bottom style="thin">
        <color theme="1"/>
      </bottom>
      <diagonal/>
    </border>
    <border>
      <left style="thin">
        <color theme="1"/>
      </left>
      <right style="thick">
        <color rgb="FF1B0BB5"/>
      </right>
      <top style="thin">
        <color theme="1"/>
      </top>
      <bottom style="thin">
        <color theme="1"/>
      </bottom>
      <diagonal/>
    </border>
    <border>
      <left/>
      <right/>
      <top style="thick">
        <color rgb="FF1B0BB5"/>
      </top>
      <bottom style="thick">
        <color auto="1"/>
      </bottom>
      <diagonal/>
    </border>
    <border>
      <left/>
      <right style="thick">
        <color rgb="FF1B0BB5"/>
      </right>
      <top style="thick">
        <color rgb="FF1B0BB5"/>
      </top>
      <bottom style="thick">
        <color auto="1"/>
      </bottom>
      <diagonal/>
    </border>
    <border>
      <left style="thick">
        <color rgb="FF1B0BB5"/>
      </left>
      <right style="thin">
        <color auto="1"/>
      </right>
      <top style="thick">
        <color rgb="FF1B0BB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1B0BB5"/>
      </top>
      <bottom style="thin">
        <color auto="1"/>
      </bottom>
      <diagonal/>
    </border>
    <border>
      <left style="thin">
        <color auto="1"/>
      </left>
      <right style="thick">
        <color rgb="FF1B0BB5"/>
      </right>
      <top style="thick">
        <color rgb="FF1B0BB5"/>
      </top>
      <bottom style="thin">
        <color auto="1"/>
      </bottom>
      <diagonal/>
    </border>
    <border>
      <left style="thick">
        <color rgb="FF1B0BB5"/>
      </left>
      <right style="thin">
        <color auto="1"/>
      </right>
      <top style="thin">
        <color auto="1"/>
      </top>
      <bottom style="thick">
        <color rgb="FF1B0BB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1B0BB5"/>
      </bottom>
      <diagonal/>
    </border>
    <border>
      <left style="thin">
        <color auto="1"/>
      </left>
      <right style="thick">
        <color rgb="FF1B0BB5"/>
      </right>
      <top style="thin">
        <color auto="1"/>
      </top>
      <bottom style="thick">
        <color rgb="FF1B0BB5"/>
      </bottom>
      <diagonal/>
    </border>
    <border>
      <left style="thin">
        <color theme="1"/>
      </left>
      <right style="thick">
        <color rgb="FF1B0BB5"/>
      </right>
      <top style="thick">
        <color rgb="FF1B0BB5"/>
      </top>
      <bottom style="thick">
        <color rgb="FF1B0BB5"/>
      </bottom>
      <diagonal/>
    </border>
    <border>
      <left style="thin">
        <color theme="1"/>
      </left>
      <right style="thick">
        <color rgb="FF1B0BB5"/>
      </right>
      <top style="thin">
        <color theme="1"/>
      </top>
      <bottom/>
      <diagonal/>
    </border>
    <border>
      <left style="thin">
        <color theme="1"/>
      </left>
      <right style="thick">
        <color rgb="FF1B0BB5"/>
      </right>
      <top/>
      <bottom style="thick">
        <color rgb="FF1B0BB5"/>
      </bottom>
      <diagonal/>
    </border>
    <border>
      <left style="thick">
        <color rgb="FF1B0BB5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ck">
        <color rgb="FF1B0BB5"/>
      </right>
      <top style="thick">
        <color auto="1"/>
      </top>
      <bottom style="thick">
        <color auto="1"/>
      </bottom>
      <diagonal/>
    </border>
    <border>
      <left style="thick">
        <color rgb="FF1B0BB5"/>
      </left>
      <right/>
      <top style="thick">
        <color rgb="FF1B0BB5"/>
      </top>
      <bottom/>
      <diagonal/>
    </border>
    <border>
      <left/>
      <right/>
      <top style="thick">
        <color rgb="FF1B0BB5"/>
      </top>
      <bottom/>
      <diagonal/>
    </border>
    <border>
      <left/>
      <right style="thick">
        <color rgb="FF1B0BB5"/>
      </right>
      <top style="thick">
        <color rgb="FF1B0BB5"/>
      </top>
      <bottom/>
      <diagonal/>
    </border>
    <border>
      <left style="thin">
        <color theme="1"/>
      </left>
      <right style="thick">
        <color rgb="FF1B0BB5"/>
      </right>
      <top/>
      <bottom style="thick">
        <color theme="1"/>
      </bottom>
      <diagonal/>
    </border>
    <border>
      <left style="thick">
        <color rgb="FF1B0BB5"/>
      </left>
      <right/>
      <top/>
      <bottom/>
      <diagonal/>
    </border>
    <border>
      <left/>
      <right style="thick">
        <color rgb="FF1B0BB5"/>
      </right>
      <top/>
      <bottom/>
      <diagonal/>
    </border>
    <border>
      <left style="thick">
        <color rgb="FF1B0BB5"/>
      </left>
      <right/>
      <top/>
      <bottom style="thick">
        <color rgb="FF1B0BB5"/>
      </bottom>
      <diagonal/>
    </border>
    <border>
      <left/>
      <right/>
      <top/>
      <bottom style="thick">
        <color rgb="FF1B0BB5"/>
      </bottom>
      <diagonal/>
    </border>
    <border>
      <left/>
      <right style="thick">
        <color rgb="FF1B0BB5"/>
      </right>
      <top/>
      <bottom style="thick">
        <color rgb="FF1B0BB5"/>
      </bottom>
      <diagonal/>
    </border>
    <border>
      <left style="thick">
        <color rgb="FF1B0BB5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ck">
        <color rgb="FF1B0BB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ck">
        <color rgb="FF1B0BB5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ck">
        <color rgb="FF1B0BB5"/>
      </top>
      <bottom style="thick">
        <color rgb="FF1B0BB5"/>
      </bottom>
      <diagonal/>
    </border>
    <border>
      <left style="thin">
        <color indexed="64"/>
      </left>
      <right style="thin">
        <color indexed="64"/>
      </right>
      <top style="thick">
        <color rgb="FF1B0BB5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/>
    <xf numFmtId="43" fontId="2" fillId="0" borderId="9" xfId="0" applyNumberFormat="1" applyFont="1" applyBorder="1"/>
    <xf numFmtId="0" fontId="2" fillId="0" borderId="0" xfId="0" applyFont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3" fontId="2" fillId="0" borderId="8" xfId="1" applyFont="1" applyBorder="1" applyAlignment="1">
      <alignment horizontal="left"/>
    </xf>
    <xf numFmtId="14" fontId="2" fillId="0" borderId="8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0" fontId="10" fillId="0" borderId="0" xfId="0" applyFont="1"/>
    <xf numFmtId="43" fontId="2" fillId="0" borderId="10" xfId="0" applyNumberFormat="1" applyFont="1" applyBorder="1"/>
    <xf numFmtId="0" fontId="4" fillId="0" borderId="7" xfId="0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/>
    </xf>
    <xf numFmtId="43" fontId="2" fillId="0" borderId="5" xfId="1" applyFont="1" applyBorder="1" applyAlignment="1">
      <alignment horizontal="center"/>
    </xf>
    <xf numFmtId="43" fontId="2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43" fontId="8" fillId="0" borderId="13" xfId="0" applyNumberFormat="1" applyFont="1" applyBorder="1" applyAlignment="1">
      <alignment vertical="center"/>
    </xf>
    <xf numFmtId="0" fontId="0" fillId="0" borderId="5" xfId="0" applyBorder="1"/>
    <xf numFmtId="0" fontId="13" fillId="6" borderId="5" xfId="0" applyFont="1" applyFill="1" applyBorder="1"/>
    <xf numFmtId="0" fontId="2" fillId="0" borderId="2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8" xfId="0" applyFont="1" applyBorder="1"/>
    <xf numFmtId="0" fontId="12" fillId="0" borderId="8" xfId="0" applyFont="1" applyBorder="1" applyAlignment="1">
      <alignment horizontal="left"/>
    </xf>
    <xf numFmtId="43" fontId="12" fillId="0" borderId="8" xfId="1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14" fontId="12" fillId="0" borderId="8" xfId="0" applyNumberFormat="1" applyFont="1" applyBorder="1" applyAlignment="1">
      <alignment horizontal="left"/>
    </xf>
    <xf numFmtId="43" fontId="10" fillId="0" borderId="0" xfId="0" applyNumberFormat="1" applyFont="1"/>
    <xf numFmtId="0" fontId="4" fillId="0" borderId="28" xfId="0" applyFont="1" applyBorder="1" applyAlignment="1">
      <alignment horizontal="center" vertical="center"/>
    </xf>
    <xf numFmtId="43" fontId="8" fillId="5" borderId="13" xfId="0" applyNumberFormat="1" applyFont="1" applyFill="1" applyBorder="1" applyAlignment="1">
      <alignment vertical="center"/>
    </xf>
    <xf numFmtId="0" fontId="2" fillId="7" borderId="25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43" fontId="8" fillId="7" borderId="13" xfId="0" applyNumberFormat="1" applyFont="1" applyFill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/>
    <xf numFmtId="0" fontId="2" fillId="0" borderId="30" xfId="0" applyFont="1" applyBorder="1" applyAlignment="1">
      <alignment horizontal="left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/>
    <xf numFmtId="0" fontId="2" fillId="0" borderId="36" xfId="0" applyFont="1" applyBorder="1" applyAlignment="1">
      <alignment horizontal="left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7" borderId="0" xfId="0" applyFont="1" applyFill="1"/>
    <xf numFmtId="0" fontId="2" fillId="5" borderId="0" xfId="0" applyFont="1" applyFill="1"/>
    <xf numFmtId="0" fontId="4" fillId="0" borderId="30" xfId="0" applyFont="1" applyBorder="1"/>
    <xf numFmtId="0" fontId="2" fillId="0" borderId="39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8" borderId="0" xfId="0" applyFont="1" applyFill="1"/>
    <xf numFmtId="0" fontId="2" fillId="7" borderId="0" xfId="0" applyFont="1" applyFill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43" fontId="2" fillId="0" borderId="42" xfId="0" applyNumberFormat="1" applyFont="1" applyBorder="1" applyAlignment="1">
      <alignment vertical="center"/>
    </xf>
    <xf numFmtId="0" fontId="2" fillId="0" borderId="44" xfId="0" applyFont="1" applyBorder="1" applyAlignment="1">
      <alignment horizontal="left"/>
    </xf>
    <xf numFmtId="43" fontId="2" fillId="0" borderId="44" xfId="1" applyFont="1" applyBorder="1" applyAlignment="1">
      <alignment horizontal="center"/>
    </xf>
    <xf numFmtId="43" fontId="2" fillId="0" borderId="5" xfId="1" applyFont="1" applyBorder="1" applyAlignment="1">
      <alignment horizontal="center" vertical="center" wrapText="1"/>
    </xf>
    <xf numFmtId="43" fontId="2" fillId="0" borderId="39" xfId="1" applyFont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43" fontId="2" fillId="0" borderId="44" xfId="0" applyNumberFormat="1" applyFont="1" applyBorder="1"/>
    <xf numFmtId="0" fontId="2" fillId="0" borderId="10" xfId="0" applyFont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3" fontId="2" fillId="0" borderId="42" xfId="1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2" fillId="9" borderId="0" xfId="0" applyFont="1" applyFill="1"/>
    <xf numFmtId="43" fontId="2" fillId="0" borderId="5" xfId="1" applyFont="1" applyBorder="1" applyAlignment="1">
      <alignment horizontal="left"/>
    </xf>
    <xf numFmtId="43" fontId="2" fillId="0" borderId="0" xfId="0" applyNumberFormat="1" applyFont="1"/>
    <xf numFmtId="43" fontId="2" fillId="8" borderId="25" xfId="1" applyFont="1" applyFill="1" applyBorder="1" applyAlignment="1">
      <alignment horizontal="center"/>
    </xf>
    <xf numFmtId="0" fontId="2" fillId="0" borderId="42" xfId="0" applyFont="1" applyBorder="1" applyAlignment="1">
      <alignment vertical="center"/>
    </xf>
    <xf numFmtId="0" fontId="2" fillId="0" borderId="10" xfId="0" applyFont="1" applyBorder="1"/>
    <xf numFmtId="43" fontId="9" fillId="6" borderId="13" xfId="1" applyFont="1" applyFill="1" applyBorder="1" applyAlignment="1">
      <alignment vertical="center"/>
    </xf>
    <xf numFmtId="43" fontId="9" fillId="6" borderId="13" xfId="0" applyNumberFormat="1" applyFont="1" applyFill="1" applyBorder="1" applyAlignment="1">
      <alignment vertical="center"/>
    </xf>
    <xf numFmtId="43" fontId="9" fillId="10" borderId="50" xfId="0" applyNumberFormat="1" applyFont="1" applyFill="1" applyBorder="1" applyAlignment="1">
      <alignment vertical="center"/>
    </xf>
    <xf numFmtId="43" fontId="9" fillId="5" borderId="49" xfId="0" applyNumberFormat="1" applyFont="1" applyFill="1" applyBorder="1" applyAlignment="1">
      <alignment vertical="center"/>
    </xf>
    <xf numFmtId="0" fontId="0" fillId="9" borderId="42" xfId="0" applyFill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11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43" fontId="2" fillId="0" borderId="41" xfId="1" applyFont="1" applyBorder="1" applyAlignment="1">
      <alignment horizontal="left" vertical="center"/>
    </xf>
    <xf numFmtId="43" fontId="2" fillId="0" borderId="39" xfId="1" applyFont="1" applyBorder="1" applyAlignment="1">
      <alignment horizontal="left" vertical="center"/>
    </xf>
    <xf numFmtId="43" fontId="2" fillId="0" borderId="44" xfId="1" applyFont="1" applyBorder="1" applyAlignment="1">
      <alignment horizontal="left" vertical="center"/>
    </xf>
    <xf numFmtId="43" fontId="2" fillId="0" borderId="45" xfId="0" applyNumberFormat="1" applyFont="1" applyBorder="1" applyAlignment="1">
      <alignment horizontal="left" vertical="center"/>
    </xf>
    <xf numFmtId="43" fontId="2" fillId="0" borderId="46" xfId="0" applyNumberFormat="1" applyFont="1" applyBorder="1" applyAlignment="1">
      <alignment horizontal="left" vertical="center"/>
    </xf>
    <xf numFmtId="43" fontId="2" fillId="0" borderId="47" xfId="0" applyNumberFormat="1" applyFont="1" applyBorder="1" applyAlignment="1">
      <alignment horizontal="left" vertical="center"/>
    </xf>
    <xf numFmtId="43" fontId="2" fillId="8" borderId="25" xfId="1" applyFont="1" applyFill="1" applyBorder="1" applyAlignment="1">
      <alignment horizontal="center" vertical="center"/>
    </xf>
    <xf numFmtId="43" fontId="2" fillId="8" borderId="40" xfId="1" applyFont="1" applyFill="1" applyBorder="1" applyAlignment="1">
      <alignment horizontal="center" vertical="center"/>
    </xf>
    <xf numFmtId="43" fontId="2" fillId="8" borderId="14" xfId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99FF99"/>
      <color rgb="FF1B0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12701</xdr:colOff>
      <xdr:row>1</xdr:row>
      <xdr:rowOff>12701</xdr:rowOff>
    </xdr:from>
    <xdr:to>
      <xdr:col>1</xdr:col>
      <xdr:colOff>1676401</xdr:colOff>
      <xdr:row>1</xdr:row>
      <xdr:rowOff>504826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06B39-7D41-4CA1-BA0A-81051BD8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1" y="196851"/>
          <a:ext cx="16637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77A9-C8BA-436B-A695-3C43B87AB118}">
  <dimension ref="B2"/>
  <sheetViews>
    <sheetView showGridLines="0" topLeftCell="B1" zoomScale="70" zoomScaleNormal="70" workbookViewId="0">
      <selection activeCell="F44" sqref="F44"/>
    </sheetView>
  </sheetViews>
  <sheetFormatPr defaultRowHeight="14.5" x14ac:dyDescent="0.35"/>
  <cols>
    <col min="2" max="2" width="255.6328125" customWidth="1"/>
  </cols>
  <sheetData>
    <row r="2" spans="2:2" ht="409.6" customHeight="1" x14ac:dyDescent="0.35">
      <c r="B2" s="1" t="s">
        <v>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59A2-5018-4DF5-B09C-6006DC6E167D}">
  <dimension ref="B1:L153"/>
  <sheetViews>
    <sheetView tabSelected="1" view="pageBreakPreview" topLeftCell="A56" zoomScale="77" zoomScaleNormal="100" zoomScaleSheetLayoutView="77" workbookViewId="0">
      <selection activeCell="C72" sqref="C72"/>
    </sheetView>
  </sheetViews>
  <sheetFormatPr defaultRowHeight="14" x14ac:dyDescent="0.3"/>
  <cols>
    <col min="1" max="1" width="8.7265625" style="4"/>
    <col min="2" max="2" width="4.36328125" style="3" customWidth="1"/>
    <col min="3" max="3" width="40.90625" style="4" customWidth="1"/>
    <col min="4" max="4" width="23.6328125" style="4" customWidth="1"/>
    <col min="5" max="5" width="16.26953125" style="4" customWidth="1"/>
    <col min="6" max="6" width="10.453125" style="12" customWidth="1"/>
    <col min="7" max="7" width="16.26953125" style="3" customWidth="1"/>
    <col min="8" max="8" width="18" style="4" customWidth="1"/>
    <col min="9" max="9" width="16.7265625" style="3" customWidth="1"/>
    <col min="10" max="10" width="18.1796875" style="4" customWidth="1"/>
    <col min="11" max="11" width="8.7265625" style="4"/>
    <col min="12" max="12" width="10.81640625" style="4" bestFit="1" customWidth="1"/>
    <col min="13" max="16384" width="8.7265625" style="4"/>
  </cols>
  <sheetData>
    <row r="1" spans="2:9" ht="14.5" thickBot="1" x14ac:dyDescent="0.35"/>
    <row r="2" spans="2:9" ht="24" customHeight="1" thickTop="1" thickBot="1" x14ac:dyDescent="0.35">
      <c r="B2" s="96" t="s">
        <v>16</v>
      </c>
      <c r="C2" s="97"/>
      <c r="D2" s="97"/>
      <c r="E2" s="97"/>
      <c r="F2" s="97"/>
      <c r="G2" s="97"/>
      <c r="H2" s="97"/>
      <c r="I2" s="98"/>
    </row>
    <row r="3" spans="2:9" ht="19" customHeight="1" thickTop="1" thickBot="1" x14ac:dyDescent="0.35">
      <c r="B3" s="99" t="s">
        <v>14</v>
      </c>
      <c r="C3" s="100"/>
      <c r="D3" s="100"/>
      <c r="E3" s="100"/>
      <c r="F3" s="100"/>
      <c r="G3" s="100"/>
      <c r="H3" s="100"/>
      <c r="I3" s="101"/>
    </row>
    <row r="4" spans="2:9" s="2" customFormat="1" ht="30.5" customHeight="1" thickTop="1" thickBot="1" x14ac:dyDescent="0.4">
      <c r="B4" s="8" t="s">
        <v>4</v>
      </c>
      <c r="C4" s="9" t="s">
        <v>3</v>
      </c>
      <c r="D4" s="9" t="s">
        <v>21</v>
      </c>
      <c r="E4" s="9" t="s">
        <v>1</v>
      </c>
      <c r="F4" s="13" t="s">
        <v>0</v>
      </c>
      <c r="G4" s="21" t="s">
        <v>12</v>
      </c>
      <c r="H4" s="25" t="s">
        <v>15</v>
      </c>
      <c r="I4" s="41" t="s">
        <v>111</v>
      </c>
    </row>
    <row r="5" spans="2:9" ht="14.5" thickTop="1" x14ac:dyDescent="0.3">
      <c r="B5" s="34">
        <v>1</v>
      </c>
      <c r="C5" s="35" t="s">
        <v>5</v>
      </c>
      <c r="D5" s="35" t="s">
        <v>124</v>
      </c>
      <c r="E5" s="35" t="s">
        <v>9</v>
      </c>
      <c r="F5" s="36">
        <v>2</v>
      </c>
      <c r="G5" s="37">
        <v>16000</v>
      </c>
      <c r="H5" s="11">
        <f t="shared" ref="H5:H20" si="0">G5*F5</f>
        <v>32000</v>
      </c>
      <c r="I5" s="43" t="s">
        <v>113</v>
      </c>
    </row>
    <row r="6" spans="2:9" x14ac:dyDescent="0.3">
      <c r="B6" s="34">
        <v>2</v>
      </c>
      <c r="C6" s="35" t="s">
        <v>6</v>
      </c>
      <c r="D6" s="35" t="s">
        <v>124</v>
      </c>
      <c r="E6" s="35" t="s">
        <v>9</v>
      </c>
      <c r="F6" s="36">
        <v>2</v>
      </c>
      <c r="G6" s="37">
        <v>15000</v>
      </c>
      <c r="H6" s="11">
        <f t="shared" si="0"/>
        <v>30000</v>
      </c>
      <c r="I6" s="43" t="s">
        <v>113</v>
      </c>
    </row>
    <row r="7" spans="2:9" x14ac:dyDescent="0.3">
      <c r="B7" s="34">
        <v>3</v>
      </c>
      <c r="C7" s="35" t="s">
        <v>11</v>
      </c>
      <c r="D7" s="35" t="s">
        <v>124</v>
      </c>
      <c r="E7" s="35" t="s">
        <v>7</v>
      </c>
      <c r="F7" s="36">
        <v>300</v>
      </c>
      <c r="G7" s="37">
        <v>65</v>
      </c>
      <c r="H7" s="11">
        <f t="shared" si="0"/>
        <v>19500</v>
      </c>
      <c r="I7" s="43" t="s">
        <v>113</v>
      </c>
    </row>
    <row r="8" spans="2:9" x14ac:dyDescent="0.3">
      <c r="B8" s="34">
        <v>4</v>
      </c>
      <c r="C8" s="35" t="s">
        <v>8</v>
      </c>
      <c r="D8" s="35" t="s">
        <v>125</v>
      </c>
      <c r="E8" s="35" t="s">
        <v>10</v>
      </c>
      <c r="F8" s="36">
        <v>20</v>
      </c>
      <c r="G8" s="37">
        <v>820</v>
      </c>
      <c r="H8" s="11">
        <f t="shared" si="0"/>
        <v>16400</v>
      </c>
      <c r="I8" s="43" t="s">
        <v>113</v>
      </c>
    </row>
    <row r="9" spans="2:9" x14ac:dyDescent="0.3">
      <c r="B9" s="34">
        <v>5</v>
      </c>
      <c r="C9" s="35" t="s">
        <v>19</v>
      </c>
      <c r="D9" s="39">
        <v>45299</v>
      </c>
      <c r="E9" s="35" t="s">
        <v>20</v>
      </c>
      <c r="F9" s="36">
        <v>1</v>
      </c>
      <c r="G9" s="37">
        <v>4500</v>
      </c>
      <c r="H9" s="11">
        <f t="shared" si="0"/>
        <v>4500</v>
      </c>
      <c r="I9" s="43" t="s">
        <v>113</v>
      </c>
    </row>
    <row r="10" spans="2:9" x14ac:dyDescent="0.3">
      <c r="B10" s="34">
        <v>6</v>
      </c>
      <c r="C10" s="35" t="s">
        <v>22</v>
      </c>
      <c r="D10" s="39">
        <v>45299</v>
      </c>
      <c r="E10" s="35" t="s">
        <v>20</v>
      </c>
      <c r="F10" s="36">
        <v>3</v>
      </c>
      <c r="G10" s="37">
        <v>3000</v>
      </c>
      <c r="H10" s="11">
        <f t="shared" si="0"/>
        <v>9000</v>
      </c>
      <c r="I10" s="43" t="s">
        <v>113</v>
      </c>
    </row>
    <row r="11" spans="2:9" x14ac:dyDescent="0.3">
      <c r="B11" s="34">
        <v>7</v>
      </c>
      <c r="C11" s="35" t="s">
        <v>23</v>
      </c>
      <c r="D11" s="39">
        <v>45299</v>
      </c>
      <c r="E11" s="35" t="s">
        <v>24</v>
      </c>
      <c r="F11" s="36">
        <v>1</v>
      </c>
      <c r="G11" s="37">
        <v>700</v>
      </c>
      <c r="H11" s="11">
        <f t="shared" si="0"/>
        <v>700</v>
      </c>
      <c r="I11" s="43" t="s">
        <v>113</v>
      </c>
    </row>
    <row r="12" spans="2:9" x14ac:dyDescent="0.3">
      <c r="B12" s="34">
        <v>8</v>
      </c>
      <c r="C12" s="35" t="s">
        <v>25</v>
      </c>
      <c r="D12" s="39">
        <v>45299</v>
      </c>
      <c r="E12" s="35" t="s">
        <v>28</v>
      </c>
      <c r="F12" s="36">
        <v>3</v>
      </c>
      <c r="G12" s="37">
        <v>280</v>
      </c>
      <c r="H12" s="11">
        <f t="shared" si="0"/>
        <v>840</v>
      </c>
      <c r="I12" s="43" t="s">
        <v>113</v>
      </c>
    </row>
    <row r="13" spans="2:9" x14ac:dyDescent="0.3">
      <c r="B13" s="34">
        <v>9</v>
      </c>
      <c r="C13" s="35" t="s">
        <v>26</v>
      </c>
      <c r="D13" s="39">
        <v>45299</v>
      </c>
      <c r="E13" s="35" t="s">
        <v>24</v>
      </c>
      <c r="F13" s="36">
        <v>10</v>
      </c>
      <c r="G13" s="37">
        <v>330</v>
      </c>
      <c r="H13" s="11">
        <f t="shared" si="0"/>
        <v>3300</v>
      </c>
      <c r="I13" s="43" t="s">
        <v>113</v>
      </c>
    </row>
    <row r="14" spans="2:9" x14ac:dyDescent="0.3">
      <c r="B14" s="34">
        <v>10</v>
      </c>
      <c r="C14" s="35" t="s">
        <v>27</v>
      </c>
      <c r="D14" s="39">
        <v>45299</v>
      </c>
      <c r="E14" s="35" t="s">
        <v>24</v>
      </c>
      <c r="F14" s="36">
        <v>5</v>
      </c>
      <c r="G14" s="37">
        <v>350</v>
      </c>
      <c r="H14" s="11">
        <f t="shared" si="0"/>
        <v>1750</v>
      </c>
      <c r="I14" s="43" t="s">
        <v>113</v>
      </c>
    </row>
    <row r="15" spans="2:9" x14ac:dyDescent="0.3">
      <c r="B15" s="34">
        <v>11</v>
      </c>
      <c r="C15" s="35" t="s">
        <v>117</v>
      </c>
      <c r="D15" s="39">
        <v>45299</v>
      </c>
      <c r="E15" s="35" t="s">
        <v>28</v>
      </c>
      <c r="F15" s="36">
        <v>7</v>
      </c>
      <c r="G15" s="37">
        <v>180</v>
      </c>
      <c r="H15" s="11">
        <f t="shared" si="0"/>
        <v>1260</v>
      </c>
      <c r="I15" s="43" t="s">
        <v>113</v>
      </c>
    </row>
    <row r="16" spans="2:9" x14ac:dyDescent="0.3">
      <c r="B16" s="34">
        <v>12</v>
      </c>
      <c r="C16" s="35" t="s">
        <v>118</v>
      </c>
      <c r="D16" s="39">
        <v>45299</v>
      </c>
      <c r="E16" s="35" t="s">
        <v>28</v>
      </c>
      <c r="F16" s="36">
        <v>5</v>
      </c>
      <c r="G16" s="37">
        <v>180</v>
      </c>
      <c r="H16" s="11">
        <f t="shared" si="0"/>
        <v>900</v>
      </c>
      <c r="I16" s="43" t="s">
        <v>113</v>
      </c>
    </row>
    <row r="17" spans="2:10" x14ac:dyDescent="0.3">
      <c r="B17" s="34">
        <v>13</v>
      </c>
      <c r="C17" s="35" t="s">
        <v>29</v>
      </c>
      <c r="D17" s="39">
        <v>45299</v>
      </c>
      <c r="E17" s="35" t="s">
        <v>28</v>
      </c>
      <c r="F17" s="36">
        <v>4</v>
      </c>
      <c r="G17" s="37">
        <v>280</v>
      </c>
      <c r="H17" s="11">
        <f t="shared" si="0"/>
        <v>1120</v>
      </c>
      <c r="I17" s="43" t="s">
        <v>113</v>
      </c>
    </row>
    <row r="18" spans="2:10" x14ac:dyDescent="0.3">
      <c r="B18" s="34">
        <v>14</v>
      </c>
      <c r="C18" s="35" t="s">
        <v>30</v>
      </c>
      <c r="D18" s="39">
        <v>45299</v>
      </c>
      <c r="E18" s="35" t="s">
        <v>28</v>
      </c>
      <c r="F18" s="36">
        <v>4</v>
      </c>
      <c r="G18" s="37">
        <v>180</v>
      </c>
      <c r="H18" s="11">
        <f t="shared" si="0"/>
        <v>720</v>
      </c>
      <c r="I18" s="43" t="s">
        <v>113</v>
      </c>
    </row>
    <row r="19" spans="2:10" x14ac:dyDescent="0.3">
      <c r="B19" s="34">
        <v>15</v>
      </c>
      <c r="C19" s="35" t="s">
        <v>31</v>
      </c>
      <c r="D19" s="39">
        <v>45299</v>
      </c>
      <c r="E19" s="35" t="s">
        <v>24</v>
      </c>
      <c r="F19" s="36">
        <v>10</v>
      </c>
      <c r="G19" s="37">
        <v>80</v>
      </c>
      <c r="H19" s="11">
        <f t="shared" si="0"/>
        <v>800</v>
      </c>
      <c r="I19" s="43" t="s">
        <v>113</v>
      </c>
    </row>
    <row r="20" spans="2:10" x14ac:dyDescent="0.3">
      <c r="B20" s="34">
        <v>16</v>
      </c>
      <c r="C20" s="35" t="s">
        <v>32</v>
      </c>
      <c r="D20" s="39">
        <v>45299</v>
      </c>
      <c r="E20" s="35" t="s">
        <v>33</v>
      </c>
      <c r="F20" s="36">
        <v>1</v>
      </c>
      <c r="G20" s="37">
        <v>750</v>
      </c>
      <c r="H20" s="11">
        <f t="shared" si="0"/>
        <v>750</v>
      </c>
      <c r="I20" s="43" t="s">
        <v>113</v>
      </c>
    </row>
    <row r="21" spans="2:10" x14ac:dyDescent="0.3">
      <c r="B21" s="34">
        <v>17</v>
      </c>
      <c r="C21" s="10" t="s">
        <v>90</v>
      </c>
      <c r="D21" s="6" t="s">
        <v>100</v>
      </c>
      <c r="E21" s="10" t="s">
        <v>89</v>
      </c>
      <c r="F21" s="15">
        <v>3</v>
      </c>
      <c r="G21" s="22">
        <v>190</v>
      </c>
      <c r="H21" s="24">
        <f t="shared" ref="H21" si="1">G21*F21</f>
        <v>570</v>
      </c>
      <c r="I21" s="43" t="s">
        <v>113</v>
      </c>
    </row>
    <row r="22" spans="2:10" x14ac:dyDescent="0.3">
      <c r="B22" s="34">
        <v>18</v>
      </c>
      <c r="C22" s="10" t="s">
        <v>29</v>
      </c>
      <c r="D22" s="17">
        <v>45543</v>
      </c>
      <c r="E22" s="10" t="s">
        <v>89</v>
      </c>
      <c r="F22" s="15">
        <v>5</v>
      </c>
      <c r="G22" s="22">
        <v>250</v>
      </c>
      <c r="H22" s="11">
        <f>G22*F22</f>
        <v>1250</v>
      </c>
      <c r="I22" s="43" t="s">
        <v>113</v>
      </c>
    </row>
    <row r="23" spans="2:10" x14ac:dyDescent="0.3">
      <c r="B23" s="34">
        <v>19</v>
      </c>
      <c r="C23" s="35" t="s">
        <v>90</v>
      </c>
      <c r="D23" s="39">
        <v>45543</v>
      </c>
      <c r="E23" s="35" t="s">
        <v>89</v>
      </c>
      <c r="F23" s="36">
        <v>4</v>
      </c>
      <c r="G23" s="37">
        <v>200</v>
      </c>
      <c r="H23" s="11">
        <f>G23*F23</f>
        <v>800</v>
      </c>
      <c r="I23" s="43" t="s">
        <v>113</v>
      </c>
    </row>
    <row r="24" spans="2:10" x14ac:dyDescent="0.3">
      <c r="B24" s="34">
        <v>20</v>
      </c>
      <c r="C24" s="35" t="s">
        <v>115</v>
      </c>
      <c r="D24" s="39">
        <v>45543</v>
      </c>
      <c r="E24" s="35" t="s">
        <v>33</v>
      </c>
      <c r="F24" s="36">
        <v>50</v>
      </c>
      <c r="G24" s="37">
        <v>160</v>
      </c>
      <c r="H24" s="11">
        <f>G24*F24</f>
        <v>8000</v>
      </c>
      <c r="I24" s="43" t="s">
        <v>113</v>
      </c>
      <c r="J24" s="19"/>
    </row>
    <row r="25" spans="2:10" x14ac:dyDescent="0.3">
      <c r="B25" s="34">
        <v>21</v>
      </c>
      <c r="C25" s="35" t="s">
        <v>115</v>
      </c>
      <c r="D25" s="39">
        <v>45543</v>
      </c>
      <c r="E25" s="35" t="s">
        <v>33</v>
      </c>
      <c r="F25" s="36">
        <v>30</v>
      </c>
      <c r="G25" s="37">
        <v>160</v>
      </c>
      <c r="H25" s="11">
        <f>G25*F25</f>
        <v>4800</v>
      </c>
      <c r="I25" s="43" t="s">
        <v>113</v>
      </c>
      <c r="J25" s="19"/>
    </row>
    <row r="26" spans="2:10" x14ac:dyDescent="0.3">
      <c r="B26" s="34">
        <v>22</v>
      </c>
      <c r="C26" s="35" t="s">
        <v>115</v>
      </c>
      <c r="D26" s="35" t="s">
        <v>116</v>
      </c>
      <c r="E26" s="35" t="s">
        <v>33</v>
      </c>
      <c r="F26" s="36">
        <v>26</v>
      </c>
      <c r="G26" s="37">
        <v>160</v>
      </c>
      <c r="H26" s="11">
        <f t="shared" ref="H26:H67" si="2">G26*F26</f>
        <v>4160</v>
      </c>
      <c r="I26" s="43" t="s">
        <v>113</v>
      </c>
      <c r="J26" s="19"/>
    </row>
    <row r="27" spans="2:10" x14ac:dyDescent="0.3">
      <c r="B27" s="34">
        <v>23</v>
      </c>
      <c r="C27" s="35" t="s">
        <v>119</v>
      </c>
      <c r="D27" s="35" t="s">
        <v>116</v>
      </c>
      <c r="E27" s="35" t="s">
        <v>24</v>
      </c>
      <c r="F27" s="36">
        <v>1</v>
      </c>
      <c r="G27" s="37">
        <v>1428.28</v>
      </c>
      <c r="H27" s="11">
        <f t="shared" si="2"/>
        <v>1428.28</v>
      </c>
      <c r="I27" s="43" t="s">
        <v>113</v>
      </c>
    </row>
    <row r="28" spans="2:10" x14ac:dyDescent="0.3">
      <c r="B28" s="34">
        <v>24</v>
      </c>
      <c r="C28" s="35" t="s">
        <v>34</v>
      </c>
      <c r="D28" s="35" t="s">
        <v>116</v>
      </c>
      <c r="E28" s="35" t="s">
        <v>24</v>
      </c>
      <c r="F28" s="36">
        <v>2</v>
      </c>
      <c r="G28" s="37">
        <v>140</v>
      </c>
      <c r="H28" s="11">
        <f t="shared" si="2"/>
        <v>280</v>
      </c>
      <c r="I28" s="43" t="s">
        <v>113</v>
      </c>
    </row>
    <row r="29" spans="2:10" x14ac:dyDescent="0.3">
      <c r="B29" s="34">
        <v>25</v>
      </c>
      <c r="C29" s="35" t="s">
        <v>35</v>
      </c>
      <c r="D29" s="35" t="s">
        <v>116</v>
      </c>
      <c r="E29" s="35" t="s">
        <v>24</v>
      </c>
      <c r="F29" s="36">
        <v>1</v>
      </c>
      <c r="G29" s="37">
        <v>2000</v>
      </c>
      <c r="H29" s="11">
        <f t="shared" si="2"/>
        <v>2000</v>
      </c>
      <c r="I29" s="43" t="s">
        <v>113</v>
      </c>
    </row>
    <row r="30" spans="2:10" x14ac:dyDescent="0.3">
      <c r="B30" s="34">
        <v>26</v>
      </c>
      <c r="C30" s="35" t="s">
        <v>36</v>
      </c>
      <c r="D30" s="35" t="s">
        <v>116</v>
      </c>
      <c r="E30" s="35" t="s">
        <v>24</v>
      </c>
      <c r="F30" s="36">
        <v>2</v>
      </c>
      <c r="G30" s="37">
        <v>300</v>
      </c>
      <c r="H30" s="11">
        <f t="shared" si="2"/>
        <v>600</v>
      </c>
      <c r="I30" s="43" t="s">
        <v>113</v>
      </c>
    </row>
    <row r="31" spans="2:10" x14ac:dyDescent="0.3">
      <c r="B31" s="34">
        <v>27</v>
      </c>
      <c r="C31" s="35" t="s">
        <v>37</v>
      </c>
      <c r="D31" s="35" t="s">
        <v>116</v>
      </c>
      <c r="E31" s="35" t="s">
        <v>24</v>
      </c>
      <c r="F31" s="36">
        <v>8</v>
      </c>
      <c r="G31" s="37">
        <v>1002.8199999999999</v>
      </c>
      <c r="H31" s="11">
        <f t="shared" si="2"/>
        <v>8022.5599999999995</v>
      </c>
      <c r="I31" s="43" t="s">
        <v>113</v>
      </c>
    </row>
    <row r="32" spans="2:10" x14ac:dyDescent="0.3">
      <c r="B32" s="34">
        <v>28</v>
      </c>
      <c r="C32" s="35" t="s">
        <v>120</v>
      </c>
      <c r="D32" s="35" t="s">
        <v>116</v>
      </c>
      <c r="E32" s="35" t="s">
        <v>20</v>
      </c>
      <c r="F32" s="36">
        <v>10</v>
      </c>
      <c r="G32" s="37">
        <v>12936.32</v>
      </c>
      <c r="H32" s="11">
        <f t="shared" si="2"/>
        <v>129363.2</v>
      </c>
      <c r="I32" s="43" t="s">
        <v>113</v>
      </c>
    </row>
    <row r="33" spans="2:9" x14ac:dyDescent="0.3">
      <c r="B33" s="34">
        <v>29</v>
      </c>
      <c r="C33" s="35" t="s">
        <v>38</v>
      </c>
      <c r="D33" s="35" t="s">
        <v>116</v>
      </c>
      <c r="E33" s="35" t="s">
        <v>24</v>
      </c>
      <c r="F33" s="36">
        <v>1</v>
      </c>
      <c r="G33" s="37">
        <v>422.23999999999995</v>
      </c>
      <c r="H33" s="11">
        <f t="shared" si="2"/>
        <v>422.23999999999995</v>
      </c>
      <c r="I33" s="43" t="s">
        <v>113</v>
      </c>
    </row>
    <row r="34" spans="2:9" x14ac:dyDescent="0.3">
      <c r="B34" s="34">
        <v>30</v>
      </c>
      <c r="C34" s="35" t="s">
        <v>39</v>
      </c>
      <c r="D34" s="35" t="s">
        <v>116</v>
      </c>
      <c r="E34" s="35" t="s">
        <v>24</v>
      </c>
      <c r="F34" s="36">
        <v>2</v>
      </c>
      <c r="G34" s="37">
        <v>60</v>
      </c>
      <c r="H34" s="11">
        <f t="shared" si="2"/>
        <v>120</v>
      </c>
      <c r="I34" s="43" t="s">
        <v>113</v>
      </c>
    </row>
    <row r="35" spans="2:9" x14ac:dyDescent="0.3">
      <c r="B35" s="34">
        <v>31</v>
      </c>
      <c r="C35" s="35" t="s">
        <v>40</v>
      </c>
      <c r="D35" s="35" t="s">
        <v>116</v>
      </c>
      <c r="E35" s="35" t="s">
        <v>24</v>
      </c>
      <c r="F35" s="36">
        <v>2</v>
      </c>
      <c r="G35" s="37">
        <v>950</v>
      </c>
      <c r="H35" s="11">
        <f t="shared" si="2"/>
        <v>1900</v>
      </c>
      <c r="I35" s="43" t="s">
        <v>113</v>
      </c>
    </row>
    <row r="36" spans="2:9" x14ac:dyDescent="0.3">
      <c r="B36" s="34">
        <v>32</v>
      </c>
      <c r="C36" s="35" t="s">
        <v>41</v>
      </c>
      <c r="D36" s="35" t="s">
        <v>116</v>
      </c>
      <c r="E36" s="35" t="s">
        <v>24</v>
      </c>
      <c r="F36" s="36">
        <v>2</v>
      </c>
      <c r="G36" s="37">
        <v>130</v>
      </c>
      <c r="H36" s="11">
        <f t="shared" si="2"/>
        <v>260</v>
      </c>
      <c r="I36" s="43" t="s">
        <v>113</v>
      </c>
    </row>
    <row r="37" spans="2:9" x14ac:dyDescent="0.3">
      <c r="B37" s="34">
        <v>33</v>
      </c>
      <c r="C37" s="35" t="s">
        <v>42</v>
      </c>
      <c r="D37" s="35" t="s">
        <v>116</v>
      </c>
      <c r="E37" s="35" t="s">
        <v>24</v>
      </c>
      <c r="F37" s="36">
        <v>3</v>
      </c>
      <c r="G37" s="37">
        <v>60</v>
      </c>
      <c r="H37" s="11">
        <f t="shared" si="2"/>
        <v>180</v>
      </c>
      <c r="I37" s="43" t="s">
        <v>113</v>
      </c>
    </row>
    <row r="38" spans="2:9" x14ac:dyDescent="0.3">
      <c r="B38" s="34">
        <v>34</v>
      </c>
      <c r="C38" s="35" t="s">
        <v>43</v>
      </c>
      <c r="D38" s="35" t="s">
        <v>116</v>
      </c>
      <c r="E38" s="35" t="s">
        <v>24</v>
      </c>
      <c r="F38" s="36">
        <v>1</v>
      </c>
      <c r="G38" s="37">
        <v>60</v>
      </c>
      <c r="H38" s="11">
        <f t="shared" si="2"/>
        <v>60</v>
      </c>
      <c r="I38" s="43" t="s">
        <v>113</v>
      </c>
    </row>
    <row r="39" spans="2:9" x14ac:dyDescent="0.3">
      <c r="B39" s="34">
        <v>35</v>
      </c>
      <c r="C39" s="35" t="s">
        <v>44</v>
      </c>
      <c r="D39" s="35" t="s">
        <v>116</v>
      </c>
      <c r="E39" s="35" t="s">
        <v>24</v>
      </c>
      <c r="F39" s="36">
        <v>1</v>
      </c>
      <c r="G39" s="37">
        <v>65</v>
      </c>
      <c r="H39" s="11">
        <f t="shared" si="2"/>
        <v>65</v>
      </c>
      <c r="I39" s="43" t="s">
        <v>113</v>
      </c>
    </row>
    <row r="40" spans="2:9" x14ac:dyDescent="0.3">
      <c r="B40" s="34">
        <v>36</v>
      </c>
      <c r="C40" s="35" t="s">
        <v>45</v>
      </c>
      <c r="D40" s="35" t="s">
        <v>116</v>
      </c>
      <c r="E40" s="35" t="s">
        <v>24</v>
      </c>
      <c r="F40" s="36">
        <v>2</v>
      </c>
      <c r="G40" s="37">
        <v>50</v>
      </c>
      <c r="H40" s="11">
        <f t="shared" si="2"/>
        <v>100</v>
      </c>
      <c r="I40" s="43" t="s">
        <v>113</v>
      </c>
    </row>
    <row r="41" spans="2:9" x14ac:dyDescent="0.3">
      <c r="B41" s="34">
        <v>37</v>
      </c>
      <c r="C41" s="35" t="s">
        <v>46</v>
      </c>
      <c r="D41" s="35" t="s">
        <v>116</v>
      </c>
      <c r="E41" s="35" t="s">
        <v>24</v>
      </c>
      <c r="F41" s="36">
        <v>2</v>
      </c>
      <c r="G41" s="37">
        <v>0</v>
      </c>
      <c r="H41" s="11">
        <f t="shared" si="2"/>
        <v>0</v>
      </c>
      <c r="I41" s="43" t="s">
        <v>113</v>
      </c>
    </row>
    <row r="42" spans="2:9" x14ac:dyDescent="0.3">
      <c r="B42" s="34">
        <v>38</v>
      </c>
      <c r="C42" s="35" t="s">
        <v>47</v>
      </c>
      <c r="D42" s="35" t="s">
        <v>116</v>
      </c>
      <c r="E42" s="35" t="s">
        <v>24</v>
      </c>
      <c r="F42" s="36">
        <v>1</v>
      </c>
      <c r="G42" s="37">
        <v>1300</v>
      </c>
      <c r="H42" s="11">
        <f t="shared" si="2"/>
        <v>1300</v>
      </c>
      <c r="I42" s="43" t="s">
        <v>113</v>
      </c>
    </row>
    <row r="43" spans="2:9" x14ac:dyDescent="0.3">
      <c r="B43" s="34">
        <v>39</v>
      </c>
      <c r="C43" s="35" t="s">
        <v>48</v>
      </c>
      <c r="D43" s="35" t="s">
        <v>116</v>
      </c>
      <c r="E43" s="35" t="s">
        <v>74</v>
      </c>
      <c r="F43" s="36">
        <v>50</v>
      </c>
      <c r="G43" s="37">
        <v>49.462399999999995</v>
      </c>
      <c r="H43" s="11">
        <f t="shared" si="2"/>
        <v>2473.12</v>
      </c>
      <c r="I43" s="43" t="s">
        <v>113</v>
      </c>
    </row>
    <row r="44" spans="2:9" x14ac:dyDescent="0.3">
      <c r="B44" s="34">
        <v>40</v>
      </c>
      <c r="C44" s="35" t="s">
        <v>121</v>
      </c>
      <c r="D44" s="35" t="s">
        <v>116</v>
      </c>
      <c r="E44" s="35" t="s">
        <v>24</v>
      </c>
      <c r="F44" s="36">
        <v>1</v>
      </c>
      <c r="G44" s="37">
        <v>40</v>
      </c>
      <c r="H44" s="11">
        <f t="shared" si="2"/>
        <v>40</v>
      </c>
      <c r="I44" s="43" t="s">
        <v>113</v>
      </c>
    </row>
    <row r="45" spans="2:9" x14ac:dyDescent="0.3">
      <c r="B45" s="34">
        <v>41</v>
      </c>
      <c r="C45" s="35" t="s">
        <v>49</v>
      </c>
      <c r="D45" s="35" t="s">
        <v>116</v>
      </c>
      <c r="E45" s="35" t="s">
        <v>24</v>
      </c>
      <c r="F45" s="36">
        <v>2</v>
      </c>
      <c r="G45" s="37">
        <v>30</v>
      </c>
      <c r="H45" s="11">
        <f t="shared" si="2"/>
        <v>60</v>
      </c>
      <c r="I45" s="43" t="s">
        <v>113</v>
      </c>
    </row>
    <row r="46" spans="2:9" x14ac:dyDescent="0.3">
      <c r="B46" s="34">
        <v>42</v>
      </c>
      <c r="C46" s="35" t="s">
        <v>50</v>
      </c>
      <c r="D46" s="35" t="s">
        <v>116</v>
      </c>
      <c r="E46" s="35" t="s">
        <v>24</v>
      </c>
      <c r="F46" s="36">
        <v>2</v>
      </c>
      <c r="G46" s="37">
        <v>0</v>
      </c>
      <c r="H46" s="11">
        <f t="shared" si="2"/>
        <v>0</v>
      </c>
      <c r="I46" s="43" t="s">
        <v>113</v>
      </c>
    </row>
    <row r="47" spans="2:9" x14ac:dyDescent="0.3">
      <c r="B47" s="34">
        <v>43</v>
      </c>
      <c r="C47" s="35" t="s">
        <v>51</v>
      </c>
      <c r="D47" s="35" t="s">
        <v>116</v>
      </c>
      <c r="E47" s="35" t="s">
        <v>24</v>
      </c>
      <c r="F47" s="36">
        <v>2</v>
      </c>
      <c r="G47" s="37">
        <v>700</v>
      </c>
      <c r="H47" s="11">
        <f t="shared" si="2"/>
        <v>1400</v>
      </c>
      <c r="I47" s="43" t="s">
        <v>113</v>
      </c>
    </row>
    <row r="48" spans="2:9" x14ac:dyDescent="0.3">
      <c r="B48" s="34">
        <v>44</v>
      </c>
      <c r="C48" s="35" t="s">
        <v>52</v>
      </c>
      <c r="D48" s="35" t="s">
        <v>116</v>
      </c>
      <c r="E48" s="35" t="s">
        <v>24</v>
      </c>
      <c r="F48" s="36">
        <v>6</v>
      </c>
      <c r="G48" s="37">
        <v>40</v>
      </c>
      <c r="H48" s="11">
        <f t="shared" si="2"/>
        <v>240</v>
      </c>
      <c r="I48" s="43" t="s">
        <v>113</v>
      </c>
    </row>
    <row r="49" spans="2:9" x14ac:dyDescent="0.3">
      <c r="B49" s="34">
        <v>45</v>
      </c>
      <c r="C49" s="35" t="s">
        <v>53</v>
      </c>
      <c r="D49" s="35" t="s">
        <v>116</v>
      </c>
      <c r="E49" s="35" t="s">
        <v>24</v>
      </c>
      <c r="F49" s="36">
        <v>5</v>
      </c>
      <c r="G49" s="37">
        <v>90</v>
      </c>
      <c r="H49" s="11">
        <f t="shared" si="2"/>
        <v>450</v>
      </c>
      <c r="I49" s="43" t="s">
        <v>113</v>
      </c>
    </row>
    <row r="50" spans="2:9" x14ac:dyDescent="0.3">
      <c r="B50" s="34">
        <v>46</v>
      </c>
      <c r="C50" s="35" t="s">
        <v>54</v>
      </c>
      <c r="D50" s="35" t="s">
        <v>116</v>
      </c>
      <c r="E50" s="35" t="s">
        <v>24</v>
      </c>
      <c r="F50" s="36">
        <v>3</v>
      </c>
      <c r="G50" s="37">
        <v>70</v>
      </c>
      <c r="H50" s="11">
        <f t="shared" si="2"/>
        <v>210</v>
      </c>
      <c r="I50" s="43" t="s">
        <v>113</v>
      </c>
    </row>
    <row r="51" spans="2:9" x14ac:dyDescent="0.3">
      <c r="B51" s="34">
        <v>47</v>
      </c>
      <c r="C51" s="35" t="s">
        <v>55</v>
      </c>
      <c r="D51" s="35" t="s">
        <v>116</v>
      </c>
      <c r="E51" s="35" t="s">
        <v>24</v>
      </c>
      <c r="F51" s="36">
        <v>6</v>
      </c>
      <c r="G51" s="37">
        <v>60</v>
      </c>
      <c r="H51" s="11">
        <f t="shared" si="2"/>
        <v>360</v>
      </c>
      <c r="I51" s="43" t="s">
        <v>113</v>
      </c>
    </row>
    <row r="52" spans="2:9" x14ac:dyDescent="0.3">
      <c r="B52" s="34">
        <v>48</v>
      </c>
      <c r="C52" s="35" t="s">
        <v>56</v>
      </c>
      <c r="D52" s="35" t="s">
        <v>116</v>
      </c>
      <c r="E52" s="35" t="s">
        <v>24</v>
      </c>
      <c r="F52" s="36">
        <v>3</v>
      </c>
      <c r="G52" s="37">
        <v>600</v>
      </c>
      <c r="H52" s="11">
        <f t="shared" si="2"/>
        <v>1800</v>
      </c>
      <c r="I52" s="43" t="s">
        <v>113</v>
      </c>
    </row>
    <row r="53" spans="2:9" x14ac:dyDescent="0.3">
      <c r="B53" s="34">
        <v>49</v>
      </c>
      <c r="C53" s="35" t="s">
        <v>57</v>
      </c>
      <c r="D53" s="35" t="s">
        <v>116</v>
      </c>
      <c r="E53" s="35" t="s">
        <v>24</v>
      </c>
      <c r="F53" s="36">
        <v>7</v>
      </c>
      <c r="G53" s="37">
        <v>330</v>
      </c>
      <c r="H53" s="11">
        <f t="shared" si="2"/>
        <v>2310</v>
      </c>
      <c r="I53" s="43" t="s">
        <v>113</v>
      </c>
    </row>
    <row r="54" spans="2:9" x14ac:dyDescent="0.3">
      <c r="B54" s="34">
        <v>50</v>
      </c>
      <c r="C54" s="35" t="s">
        <v>58</v>
      </c>
      <c r="D54" s="35" t="s">
        <v>116</v>
      </c>
      <c r="E54" s="35" t="s">
        <v>24</v>
      </c>
      <c r="F54" s="36">
        <v>7</v>
      </c>
      <c r="G54" s="37">
        <v>17.399999999999999</v>
      </c>
      <c r="H54" s="11">
        <f t="shared" si="2"/>
        <v>121.79999999999998</v>
      </c>
      <c r="I54" s="43" t="s">
        <v>113</v>
      </c>
    </row>
    <row r="55" spans="2:9" x14ac:dyDescent="0.3">
      <c r="B55" s="34">
        <v>51</v>
      </c>
      <c r="C55" s="35" t="s">
        <v>59</v>
      </c>
      <c r="D55" s="35" t="s">
        <v>116</v>
      </c>
      <c r="E55" s="35" t="s">
        <v>74</v>
      </c>
      <c r="F55" s="36">
        <v>40</v>
      </c>
      <c r="G55" s="37">
        <v>286.52</v>
      </c>
      <c r="H55" s="11">
        <f>G55*10</f>
        <v>2865.2</v>
      </c>
      <c r="I55" s="43" t="s">
        <v>113</v>
      </c>
    </row>
    <row r="56" spans="2:9" x14ac:dyDescent="0.3">
      <c r="B56" s="34">
        <v>52</v>
      </c>
      <c r="C56" s="35" t="s">
        <v>122</v>
      </c>
      <c r="D56" s="35" t="s">
        <v>116</v>
      </c>
      <c r="E56" s="35" t="s">
        <v>24</v>
      </c>
      <c r="F56" s="36">
        <v>1</v>
      </c>
      <c r="G56" s="37">
        <v>40</v>
      </c>
      <c r="H56" s="11">
        <f t="shared" si="2"/>
        <v>40</v>
      </c>
      <c r="I56" s="43" t="s">
        <v>113</v>
      </c>
    </row>
    <row r="57" spans="2:9" x14ac:dyDescent="0.3">
      <c r="B57" s="34">
        <v>53</v>
      </c>
      <c r="C57" s="35" t="s">
        <v>60</v>
      </c>
      <c r="D57" s="35" t="s">
        <v>116</v>
      </c>
      <c r="E57" s="35" t="s">
        <v>24</v>
      </c>
      <c r="F57" s="36">
        <v>2</v>
      </c>
      <c r="G57" s="37">
        <v>30</v>
      </c>
      <c r="H57" s="11">
        <f t="shared" si="2"/>
        <v>60</v>
      </c>
      <c r="I57" s="43" t="s">
        <v>113</v>
      </c>
    </row>
    <row r="58" spans="2:9" x14ac:dyDescent="0.3">
      <c r="B58" s="34">
        <v>54</v>
      </c>
      <c r="C58" s="35" t="s">
        <v>61</v>
      </c>
      <c r="D58" s="35" t="s">
        <v>116</v>
      </c>
      <c r="E58" s="35" t="s">
        <v>24</v>
      </c>
      <c r="F58" s="36">
        <v>1</v>
      </c>
      <c r="G58" s="37">
        <v>70</v>
      </c>
      <c r="H58" s="11">
        <f t="shared" si="2"/>
        <v>70</v>
      </c>
      <c r="I58" s="43" t="s">
        <v>113</v>
      </c>
    </row>
    <row r="59" spans="2:9" x14ac:dyDescent="0.3">
      <c r="B59" s="34">
        <v>55</v>
      </c>
      <c r="C59" s="35" t="s">
        <v>62</v>
      </c>
      <c r="D59" s="35" t="s">
        <v>116</v>
      </c>
      <c r="E59" s="35" t="s">
        <v>24</v>
      </c>
      <c r="F59" s="36">
        <v>1</v>
      </c>
      <c r="G59" s="37">
        <v>500</v>
      </c>
      <c r="H59" s="11">
        <f t="shared" si="2"/>
        <v>500</v>
      </c>
      <c r="I59" s="43" t="s">
        <v>113</v>
      </c>
    </row>
    <row r="60" spans="2:9" x14ac:dyDescent="0.3">
      <c r="B60" s="34">
        <v>56</v>
      </c>
      <c r="C60" s="35" t="s">
        <v>63</v>
      </c>
      <c r="D60" s="35" t="s">
        <v>116</v>
      </c>
      <c r="E60" s="35" t="s">
        <v>24</v>
      </c>
      <c r="F60" s="36">
        <v>1</v>
      </c>
      <c r="G60" s="37">
        <v>230</v>
      </c>
      <c r="H60" s="11">
        <f t="shared" si="2"/>
        <v>230</v>
      </c>
      <c r="I60" s="43" t="s">
        <v>113</v>
      </c>
    </row>
    <row r="61" spans="2:9" x14ac:dyDescent="0.3">
      <c r="B61" s="34">
        <v>57</v>
      </c>
      <c r="C61" s="35" t="s">
        <v>64</v>
      </c>
      <c r="D61" s="35" t="s">
        <v>116</v>
      </c>
      <c r="E61" s="35" t="s">
        <v>24</v>
      </c>
      <c r="F61" s="36">
        <v>2</v>
      </c>
      <c r="G61" s="37">
        <v>30</v>
      </c>
      <c r="H61" s="11">
        <f t="shared" si="2"/>
        <v>60</v>
      </c>
      <c r="I61" s="43" t="s">
        <v>113</v>
      </c>
    </row>
    <row r="62" spans="2:9" x14ac:dyDescent="0.3">
      <c r="B62" s="34">
        <v>58</v>
      </c>
      <c r="C62" s="35" t="s">
        <v>65</v>
      </c>
      <c r="D62" s="35" t="s">
        <v>116</v>
      </c>
      <c r="E62" s="35" t="s">
        <v>24</v>
      </c>
      <c r="F62" s="36">
        <v>1</v>
      </c>
      <c r="G62" s="37">
        <v>450</v>
      </c>
      <c r="H62" s="11">
        <f t="shared" si="2"/>
        <v>450</v>
      </c>
      <c r="I62" s="43" t="s">
        <v>113</v>
      </c>
    </row>
    <row r="63" spans="2:9" x14ac:dyDescent="0.3">
      <c r="B63" s="34">
        <v>59</v>
      </c>
      <c r="C63" s="35" t="s">
        <v>66</v>
      </c>
      <c r="D63" s="35" t="s">
        <v>116</v>
      </c>
      <c r="E63" s="35" t="s">
        <v>75</v>
      </c>
      <c r="F63" s="36">
        <v>10</v>
      </c>
      <c r="G63" s="37">
        <v>180.95999999999998</v>
      </c>
      <c r="H63" s="11">
        <f t="shared" si="2"/>
        <v>1809.6</v>
      </c>
      <c r="I63" s="43" t="s">
        <v>113</v>
      </c>
    </row>
    <row r="64" spans="2:9" x14ac:dyDescent="0.3">
      <c r="B64" s="34">
        <v>60</v>
      </c>
      <c r="C64" s="35" t="s">
        <v>67</v>
      </c>
      <c r="D64" s="35" t="s">
        <v>116</v>
      </c>
      <c r="E64" s="35" t="s">
        <v>24</v>
      </c>
      <c r="F64" s="36">
        <v>6</v>
      </c>
      <c r="G64" s="37">
        <v>28.999999999999996</v>
      </c>
      <c r="H64" s="11">
        <f t="shared" si="2"/>
        <v>173.99999999999997</v>
      </c>
      <c r="I64" s="43" t="s">
        <v>113</v>
      </c>
    </row>
    <row r="65" spans="2:10" x14ac:dyDescent="0.3">
      <c r="B65" s="34">
        <v>61</v>
      </c>
      <c r="C65" s="35" t="s">
        <v>123</v>
      </c>
      <c r="D65" s="35" t="s">
        <v>116</v>
      </c>
      <c r="E65" s="35" t="s">
        <v>33</v>
      </c>
      <c r="F65" s="36">
        <v>8</v>
      </c>
      <c r="G65" s="37">
        <v>200</v>
      </c>
      <c r="H65" s="11">
        <f t="shared" si="2"/>
        <v>1600</v>
      </c>
      <c r="I65" s="43" t="s">
        <v>113</v>
      </c>
    </row>
    <row r="66" spans="2:10" x14ac:dyDescent="0.3">
      <c r="B66" s="34">
        <v>62</v>
      </c>
      <c r="C66" s="35" t="s">
        <v>68</v>
      </c>
      <c r="D66" s="35" t="s">
        <v>116</v>
      </c>
      <c r="E66" s="35" t="s">
        <v>33</v>
      </c>
      <c r="F66" s="36">
        <v>2</v>
      </c>
      <c r="G66" s="37">
        <v>80</v>
      </c>
      <c r="H66" s="11">
        <f t="shared" si="2"/>
        <v>160</v>
      </c>
      <c r="I66" s="43" t="s">
        <v>113</v>
      </c>
    </row>
    <row r="67" spans="2:10" x14ac:dyDescent="0.3">
      <c r="B67" s="34">
        <v>63</v>
      </c>
      <c r="C67" s="35" t="s">
        <v>69</v>
      </c>
      <c r="D67" s="35" t="s">
        <v>116</v>
      </c>
      <c r="E67" s="35" t="s">
        <v>24</v>
      </c>
      <c r="F67" s="36">
        <v>7</v>
      </c>
      <c r="G67" s="37">
        <v>120</v>
      </c>
      <c r="H67" s="11">
        <f t="shared" si="2"/>
        <v>840</v>
      </c>
      <c r="I67" s="43" t="s">
        <v>113</v>
      </c>
    </row>
    <row r="68" spans="2:10" x14ac:dyDescent="0.3">
      <c r="B68" s="34">
        <v>64</v>
      </c>
      <c r="C68" s="35" t="s">
        <v>70</v>
      </c>
      <c r="D68" s="35" t="s">
        <v>116</v>
      </c>
      <c r="E68" s="35" t="s">
        <v>24</v>
      </c>
      <c r="F68" s="36">
        <v>7</v>
      </c>
      <c r="G68" s="37">
        <v>120</v>
      </c>
      <c r="H68" s="11">
        <f t="shared" ref="H68:H93" si="3">G68*F68</f>
        <v>840</v>
      </c>
      <c r="I68" s="43" t="s">
        <v>113</v>
      </c>
    </row>
    <row r="69" spans="2:10" x14ac:dyDescent="0.3">
      <c r="B69" s="34">
        <v>65</v>
      </c>
      <c r="C69" s="35" t="s">
        <v>172</v>
      </c>
      <c r="D69" s="35" t="s">
        <v>116</v>
      </c>
      <c r="E69" s="35" t="s">
        <v>20</v>
      </c>
      <c r="F69" s="36">
        <v>6</v>
      </c>
      <c r="G69" s="37">
        <v>7800</v>
      </c>
      <c r="H69" s="11">
        <f t="shared" si="3"/>
        <v>46800</v>
      </c>
      <c r="I69" s="43" t="s">
        <v>113</v>
      </c>
    </row>
    <row r="70" spans="2:10" x14ac:dyDescent="0.3">
      <c r="B70" s="34">
        <v>66</v>
      </c>
      <c r="C70" s="35" t="s">
        <v>71</v>
      </c>
      <c r="D70" s="35" t="s">
        <v>116</v>
      </c>
      <c r="E70" s="35" t="s">
        <v>33</v>
      </c>
      <c r="F70" s="36">
        <v>3</v>
      </c>
      <c r="G70" s="37">
        <v>200</v>
      </c>
      <c r="H70" s="11">
        <f t="shared" si="3"/>
        <v>600</v>
      </c>
      <c r="I70" s="43" t="s">
        <v>113</v>
      </c>
    </row>
    <row r="71" spans="2:10" x14ac:dyDescent="0.3">
      <c r="B71" s="34">
        <v>67</v>
      </c>
      <c r="C71" s="35" t="s">
        <v>72</v>
      </c>
      <c r="D71" s="35" t="s">
        <v>116</v>
      </c>
      <c r="E71" s="35" t="s">
        <v>20</v>
      </c>
      <c r="F71" s="36">
        <v>3</v>
      </c>
      <c r="G71" s="37">
        <v>5500</v>
      </c>
      <c r="H71" s="11">
        <f t="shared" si="3"/>
        <v>16500</v>
      </c>
      <c r="I71" s="43" t="s">
        <v>113</v>
      </c>
    </row>
    <row r="72" spans="2:10" x14ac:dyDescent="0.3">
      <c r="B72" s="34">
        <v>68</v>
      </c>
      <c r="C72" s="35" t="s">
        <v>73</v>
      </c>
      <c r="D72" s="35" t="s">
        <v>116</v>
      </c>
      <c r="E72" s="35" t="s">
        <v>20</v>
      </c>
      <c r="F72" s="36">
        <v>1</v>
      </c>
      <c r="G72" s="37">
        <v>3100</v>
      </c>
      <c r="H72" s="11">
        <f t="shared" si="3"/>
        <v>3100</v>
      </c>
      <c r="I72" s="43" t="s">
        <v>113</v>
      </c>
    </row>
    <row r="73" spans="2:10" x14ac:dyDescent="0.3">
      <c r="B73" s="34">
        <v>69</v>
      </c>
      <c r="C73" s="35" t="s">
        <v>76</v>
      </c>
      <c r="D73" s="35" t="s">
        <v>116</v>
      </c>
      <c r="E73" s="35" t="s">
        <v>24</v>
      </c>
      <c r="F73" s="36">
        <v>10</v>
      </c>
      <c r="G73" s="37">
        <v>80</v>
      </c>
      <c r="H73" s="11">
        <f t="shared" si="3"/>
        <v>800</v>
      </c>
      <c r="I73" s="43" t="s">
        <v>113</v>
      </c>
      <c r="J73" s="40">
        <f>SUM(H27:H73)</f>
        <v>233065</v>
      </c>
    </row>
    <row r="74" spans="2:10" x14ac:dyDescent="0.3">
      <c r="B74" s="34">
        <v>70</v>
      </c>
      <c r="C74" s="10" t="s">
        <v>8</v>
      </c>
      <c r="D74" s="10" t="s">
        <v>101</v>
      </c>
      <c r="E74" s="10" t="s">
        <v>83</v>
      </c>
      <c r="F74" s="15">
        <v>4</v>
      </c>
      <c r="G74" s="22">
        <v>850</v>
      </c>
      <c r="H74" s="11">
        <f>G74*F74</f>
        <v>3400</v>
      </c>
      <c r="I74" s="43" t="s">
        <v>113</v>
      </c>
    </row>
    <row r="75" spans="2:10" x14ac:dyDescent="0.3">
      <c r="B75" s="34">
        <v>71</v>
      </c>
      <c r="C75" s="10" t="s">
        <v>93</v>
      </c>
      <c r="D75" s="10" t="s">
        <v>96</v>
      </c>
      <c r="E75" s="10" t="s">
        <v>94</v>
      </c>
      <c r="F75" s="15">
        <v>1</v>
      </c>
      <c r="G75" s="22">
        <v>280</v>
      </c>
      <c r="H75" s="11">
        <f>G75*F75</f>
        <v>280</v>
      </c>
      <c r="I75" s="43" t="s">
        <v>113</v>
      </c>
    </row>
    <row r="76" spans="2:10" x14ac:dyDescent="0.3">
      <c r="B76" s="34">
        <v>72</v>
      </c>
      <c r="C76" s="10" t="s">
        <v>8</v>
      </c>
      <c r="D76" s="10" t="s">
        <v>96</v>
      </c>
      <c r="E76" s="10" t="s">
        <v>83</v>
      </c>
      <c r="F76" s="15">
        <v>7</v>
      </c>
      <c r="G76" s="22">
        <v>820</v>
      </c>
      <c r="H76" s="11">
        <f>G76*F76</f>
        <v>5740</v>
      </c>
      <c r="I76" s="43" t="s">
        <v>113</v>
      </c>
    </row>
    <row r="77" spans="2:10" x14ac:dyDescent="0.3">
      <c r="B77" s="34">
        <v>73</v>
      </c>
      <c r="C77" s="10" t="s">
        <v>103</v>
      </c>
      <c r="D77" s="10" t="s">
        <v>96</v>
      </c>
      <c r="E77" s="10" t="s">
        <v>105</v>
      </c>
      <c r="F77" s="15"/>
      <c r="G77" s="22">
        <v>3400</v>
      </c>
      <c r="H77" s="11">
        <v>3400</v>
      </c>
      <c r="I77" s="43" t="s">
        <v>113</v>
      </c>
    </row>
    <row r="78" spans="2:10" x14ac:dyDescent="0.3">
      <c r="B78" s="34">
        <v>74</v>
      </c>
      <c r="C78" s="10" t="s">
        <v>90</v>
      </c>
      <c r="D78" s="10" t="s">
        <v>99</v>
      </c>
      <c r="E78" s="10" t="s">
        <v>89</v>
      </c>
      <c r="F78" s="15">
        <v>1</v>
      </c>
      <c r="G78" s="22">
        <v>200</v>
      </c>
      <c r="H78" s="11">
        <f t="shared" ref="H78:H86" si="4">G78*F78</f>
        <v>200</v>
      </c>
      <c r="I78" s="43" t="s">
        <v>113</v>
      </c>
    </row>
    <row r="79" spans="2:10" x14ac:dyDescent="0.3">
      <c r="B79" s="34">
        <v>75</v>
      </c>
      <c r="C79" s="10" t="s">
        <v>90</v>
      </c>
      <c r="D79" s="10" t="s">
        <v>98</v>
      </c>
      <c r="E79" s="10" t="s">
        <v>89</v>
      </c>
      <c r="F79" s="15">
        <v>2</v>
      </c>
      <c r="G79" s="22">
        <v>180</v>
      </c>
      <c r="H79" s="11">
        <f t="shared" si="4"/>
        <v>360</v>
      </c>
      <c r="I79" s="43" t="s">
        <v>113</v>
      </c>
    </row>
    <row r="80" spans="2:10" x14ac:dyDescent="0.3">
      <c r="B80" s="34">
        <v>76</v>
      </c>
      <c r="C80" s="10" t="s">
        <v>91</v>
      </c>
      <c r="D80" s="10" t="s">
        <v>98</v>
      </c>
      <c r="E80" s="10" t="s">
        <v>89</v>
      </c>
      <c r="F80" s="15">
        <v>3</v>
      </c>
      <c r="G80" s="22">
        <v>350</v>
      </c>
      <c r="H80" s="11">
        <f t="shared" si="4"/>
        <v>1050</v>
      </c>
      <c r="I80" s="43" t="s">
        <v>113</v>
      </c>
    </row>
    <row r="81" spans="2:10" x14ac:dyDescent="0.3">
      <c r="B81" s="34">
        <v>77</v>
      </c>
      <c r="C81" s="35" t="s">
        <v>135</v>
      </c>
      <c r="D81" s="35" t="s">
        <v>98</v>
      </c>
      <c r="E81" s="35" t="s">
        <v>24</v>
      </c>
      <c r="F81" s="36">
        <v>1</v>
      </c>
      <c r="G81" s="37">
        <v>15580</v>
      </c>
      <c r="H81" s="11">
        <f t="shared" si="4"/>
        <v>15580</v>
      </c>
      <c r="I81" s="45" t="s">
        <v>113</v>
      </c>
    </row>
    <row r="82" spans="2:10" x14ac:dyDescent="0.3">
      <c r="B82" s="34">
        <v>78</v>
      </c>
      <c r="C82" s="10" t="s">
        <v>81</v>
      </c>
      <c r="D82" s="10" t="s">
        <v>87</v>
      </c>
      <c r="E82" s="10" t="s">
        <v>24</v>
      </c>
      <c r="F82" s="15">
        <v>60</v>
      </c>
      <c r="G82" s="16">
        <v>50</v>
      </c>
      <c r="H82" s="11">
        <f t="shared" si="4"/>
        <v>3000</v>
      </c>
      <c r="I82" s="44" t="s">
        <v>113</v>
      </c>
    </row>
    <row r="83" spans="2:10" x14ac:dyDescent="0.3">
      <c r="B83" s="34">
        <v>79</v>
      </c>
      <c r="C83" s="10" t="s">
        <v>8</v>
      </c>
      <c r="D83" s="10" t="s">
        <v>168</v>
      </c>
      <c r="E83" s="10" t="s">
        <v>83</v>
      </c>
      <c r="F83" s="15">
        <v>5</v>
      </c>
      <c r="G83" s="16">
        <v>850</v>
      </c>
      <c r="H83" s="11">
        <f t="shared" si="4"/>
        <v>4250</v>
      </c>
      <c r="I83" s="73" t="s">
        <v>113</v>
      </c>
    </row>
    <row r="84" spans="2:10" x14ac:dyDescent="0.3">
      <c r="B84" s="34">
        <v>80</v>
      </c>
      <c r="C84" s="10" t="s">
        <v>81</v>
      </c>
      <c r="D84" s="10" t="s">
        <v>168</v>
      </c>
      <c r="E84" s="10" t="s">
        <v>24</v>
      </c>
      <c r="F84" s="15">
        <v>35</v>
      </c>
      <c r="G84" s="16">
        <v>50</v>
      </c>
      <c r="H84" s="11">
        <f t="shared" si="4"/>
        <v>1750</v>
      </c>
      <c r="I84" s="45" t="s">
        <v>113</v>
      </c>
    </row>
    <row r="85" spans="2:10" x14ac:dyDescent="0.3">
      <c r="B85" s="34">
        <v>81</v>
      </c>
      <c r="C85" s="10" t="s">
        <v>81</v>
      </c>
      <c r="D85" s="10" t="s">
        <v>144</v>
      </c>
      <c r="E85" s="10" t="s">
        <v>24</v>
      </c>
      <c r="F85" s="15">
        <v>13</v>
      </c>
      <c r="G85" s="16">
        <v>50</v>
      </c>
      <c r="H85" s="11">
        <f t="shared" si="4"/>
        <v>650</v>
      </c>
      <c r="I85" s="43" t="s">
        <v>113</v>
      </c>
    </row>
    <row r="86" spans="2:10" x14ac:dyDescent="0.3">
      <c r="B86" s="34">
        <v>82</v>
      </c>
      <c r="C86" s="6" t="s">
        <v>8</v>
      </c>
      <c r="D86" s="102" t="s">
        <v>148</v>
      </c>
      <c r="E86" s="102" t="s">
        <v>105</v>
      </c>
      <c r="F86" s="102">
        <v>1</v>
      </c>
      <c r="G86" s="105">
        <v>9450</v>
      </c>
      <c r="H86" s="108">
        <f t="shared" si="4"/>
        <v>9450</v>
      </c>
      <c r="I86" s="111">
        <f>4250+3500+250+600</f>
        <v>8600</v>
      </c>
    </row>
    <row r="87" spans="2:10" x14ac:dyDescent="0.3">
      <c r="B87" s="34">
        <v>83</v>
      </c>
      <c r="C87" s="6" t="s">
        <v>149</v>
      </c>
      <c r="D87" s="103"/>
      <c r="E87" s="103"/>
      <c r="F87" s="103"/>
      <c r="G87" s="106"/>
      <c r="H87" s="109"/>
      <c r="I87" s="112"/>
    </row>
    <row r="88" spans="2:10" x14ac:dyDescent="0.3">
      <c r="B88" s="34">
        <v>84</v>
      </c>
      <c r="C88" s="6" t="s">
        <v>150</v>
      </c>
      <c r="D88" s="104"/>
      <c r="E88" s="104"/>
      <c r="F88" s="104"/>
      <c r="G88" s="107"/>
      <c r="H88" s="110"/>
      <c r="I88" s="112"/>
    </row>
    <row r="89" spans="2:10" x14ac:dyDescent="0.3">
      <c r="B89" s="34">
        <v>85</v>
      </c>
      <c r="C89" s="10" t="s">
        <v>149</v>
      </c>
      <c r="D89" s="10" t="s">
        <v>148</v>
      </c>
      <c r="E89" s="10" t="s">
        <v>105</v>
      </c>
      <c r="F89" s="15">
        <v>1</v>
      </c>
      <c r="G89" s="16">
        <v>880</v>
      </c>
      <c r="H89" s="11">
        <f>G89*F89</f>
        <v>880</v>
      </c>
      <c r="I89" s="113"/>
    </row>
    <row r="90" spans="2:10" x14ac:dyDescent="0.3">
      <c r="B90" s="34">
        <v>86</v>
      </c>
      <c r="C90" s="35" t="s">
        <v>132</v>
      </c>
      <c r="D90" s="39">
        <v>45391</v>
      </c>
      <c r="E90" s="35" t="s">
        <v>24</v>
      </c>
      <c r="F90" s="36">
        <v>2</v>
      </c>
      <c r="G90" s="37">
        <v>2500</v>
      </c>
      <c r="H90" s="11">
        <f t="shared" si="3"/>
        <v>5000</v>
      </c>
      <c r="I90" s="43" t="s">
        <v>113</v>
      </c>
      <c r="J90" s="40"/>
    </row>
    <row r="91" spans="2:10" x14ac:dyDescent="0.3">
      <c r="B91" s="34">
        <v>87</v>
      </c>
      <c r="C91" s="35" t="s">
        <v>133</v>
      </c>
      <c r="D91" s="39">
        <v>45391</v>
      </c>
      <c r="E91" s="35" t="s">
        <v>24</v>
      </c>
      <c r="F91" s="36">
        <v>1</v>
      </c>
      <c r="G91" s="37">
        <v>3250</v>
      </c>
      <c r="H91" s="11">
        <f t="shared" si="3"/>
        <v>3250</v>
      </c>
      <c r="I91" s="43" t="s">
        <v>113</v>
      </c>
      <c r="J91" s="40"/>
    </row>
    <row r="92" spans="2:10" x14ac:dyDescent="0.3">
      <c r="B92" s="34">
        <v>88</v>
      </c>
      <c r="C92" s="35" t="s">
        <v>134</v>
      </c>
      <c r="D92" s="39">
        <v>45391</v>
      </c>
      <c r="E92" s="35" t="s">
        <v>24</v>
      </c>
      <c r="F92" s="36">
        <v>1</v>
      </c>
      <c r="G92" s="37">
        <v>1750</v>
      </c>
      <c r="H92" s="11">
        <f t="shared" si="3"/>
        <v>1750</v>
      </c>
      <c r="I92" s="43" t="s">
        <v>113</v>
      </c>
      <c r="J92" s="40"/>
    </row>
    <row r="93" spans="2:10" x14ac:dyDescent="0.3">
      <c r="B93" s="34">
        <v>89</v>
      </c>
      <c r="C93" s="35" t="s">
        <v>156</v>
      </c>
      <c r="D93" s="39">
        <v>45421</v>
      </c>
      <c r="E93" s="35" t="s">
        <v>157</v>
      </c>
      <c r="F93" s="36">
        <v>2</v>
      </c>
      <c r="G93" s="37">
        <v>12000</v>
      </c>
      <c r="H93" s="11">
        <f t="shared" si="3"/>
        <v>24000</v>
      </c>
      <c r="I93" s="84">
        <v>14000</v>
      </c>
      <c r="J93" s="40"/>
    </row>
    <row r="94" spans="2:10" ht="14.5" thickBot="1" x14ac:dyDescent="0.35">
      <c r="B94" s="34"/>
      <c r="C94" s="35"/>
      <c r="D94" s="35"/>
      <c r="E94" s="35"/>
      <c r="F94" s="36"/>
      <c r="G94" s="37"/>
      <c r="H94" s="11"/>
      <c r="I94" s="31"/>
    </row>
    <row r="95" spans="2:10" ht="18.5" customHeight="1" thickTop="1" thickBot="1" x14ac:dyDescent="0.35">
      <c r="B95" s="94" t="s">
        <v>18</v>
      </c>
      <c r="C95" s="95"/>
      <c r="D95" s="95"/>
      <c r="E95" s="95"/>
      <c r="F95" s="95"/>
      <c r="G95" s="95"/>
      <c r="H95" s="87">
        <f>SUM(H5:H94)</f>
        <v>460174.99999999994</v>
      </c>
      <c r="I95" s="32"/>
    </row>
    <row r="96" spans="2:10" ht="18.5" customHeight="1" thickTop="1" thickBot="1" x14ac:dyDescent="0.35">
      <c r="B96" s="99" t="s">
        <v>13</v>
      </c>
      <c r="C96" s="100"/>
      <c r="D96" s="100"/>
      <c r="E96" s="100"/>
      <c r="F96" s="100"/>
      <c r="G96" s="100"/>
      <c r="H96" s="100"/>
      <c r="I96" s="101"/>
    </row>
    <row r="97" spans="2:9" s="7" customFormat="1" ht="31" customHeight="1" thickTop="1" thickBot="1" x14ac:dyDescent="0.4">
      <c r="B97" s="8" t="s">
        <v>4</v>
      </c>
      <c r="C97" s="9" t="s">
        <v>88</v>
      </c>
      <c r="D97" s="9" t="s">
        <v>86</v>
      </c>
      <c r="E97" s="9" t="s">
        <v>1</v>
      </c>
      <c r="F97" s="13" t="s">
        <v>0</v>
      </c>
      <c r="G97" s="21" t="s">
        <v>12</v>
      </c>
      <c r="H97" s="25" t="s">
        <v>15</v>
      </c>
      <c r="I97" s="80" t="s">
        <v>111</v>
      </c>
    </row>
    <row r="98" spans="2:9" s="7" customFormat="1" ht="17.5" customHeight="1" thickTop="1" x14ac:dyDescent="0.3">
      <c r="B98" s="78">
        <v>1</v>
      </c>
      <c r="C98" s="6" t="s">
        <v>137</v>
      </c>
      <c r="D98" s="6" t="s">
        <v>136</v>
      </c>
      <c r="E98" s="6" t="s">
        <v>85</v>
      </c>
      <c r="F98" s="62">
        <v>30</v>
      </c>
      <c r="G98" s="72">
        <v>500</v>
      </c>
      <c r="H98" s="20">
        <f t="shared" ref="H98:H123" si="5">G98*F98</f>
        <v>15000</v>
      </c>
      <c r="I98" s="44" t="s">
        <v>114</v>
      </c>
    </row>
    <row r="99" spans="2:9" x14ac:dyDescent="0.3">
      <c r="B99" s="78">
        <v>2</v>
      </c>
      <c r="C99" s="6" t="s">
        <v>77</v>
      </c>
      <c r="D99" s="6" t="s">
        <v>97</v>
      </c>
      <c r="E99" s="6" t="s">
        <v>85</v>
      </c>
      <c r="F99" s="14">
        <v>9</v>
      </c>
      <c r="G99" s="23">
        <v>1200</v>
      </c>
      <c r="H99" s="20">
        <f t="shared" si="5"/>
        <v>10800</v>
      </c>
      <c r="I99" s="44" t="s">
        <v>113</v>
      </c>
    </row>
    <row r="100" spans="2:9" x14ac:dyDescent="0.3">
      <c r="B100" s="78">
        <v>3</v>
      </c>
      <c r="C100" s="6" t="s">
        <v>78</v>
      </c>
      <c r="D100" s="6" t="s">
        <v>97</v>
      </c>
      <c r="E100" s="6" t="s">
        <v>85</v>
      </c>
      <c r="F100" s="14">
        <v>2</v>
      </c>
      <c r="G100" s="23">
        <v>700</v>
      </c>
      <c r="H100" s="20">
        <f t="shared" si="5"/>
        <v>1400</v>
      </c>
      <c r="I100" s="45" t="s">
        <v>113</v>
      </c>
    </row>
    <row r="101" spans="2:9" x14ac:dyDescent="0.3">
      <c r="B101" s="78">
        <v>4</v>
      </c>
      <c r="C101" s="6" t="s">
        <v>79</v>
      </c>
      <c r="D101" s="6" t="s">
        <v>97</v>
      </c>
      <c r="E101" s="6" t="s">
        <v>85</v>
      </c>
      <c r="F101" s="14">
        <v>7</v>
      </c>
      <c r="G101" s="23">
        <v>1200</v>
      </c>
      <c r="H101" s="20">
        <f t="shared" si="5"/>
        <v>8400</v>
      </c>
      <c r="I101" s="45" t="s">
        <v>113</v>
      </c>
    </row>
    <row r="102" spans="2:9" x14ac:dyDescent="0.3">
      <c r="B102" s="78">
        <v>5</v>
      </c>
      <c r="C102" s="6" t="s">
        <v>82</v>
      </c>
      <c r="D102" s="6" t="s">
        <v>97</v>
      </c>
      <c r="E102" s="6" t="s">
        <v>85</v>
      </c>
      <c r="F102" s="14">
        <v>4</v>
      </c>
      <c r="G102" s="23">
        <v>700</v>
      </c>
      <c r="H102" s="20">
        <f t="shared" si="5"/>
        <v>2800</v>
      </c>
      <c r="I102" s="45" t="s">
        <v>113</v>
      </c>
    </row>
    <row r="103" spans="2:9" x14ac:dyDescent="0.3">
      <c r="B103" s="78">
        <v>6</v>
      </c>
      <c r="C103" s="6" t="s">
        <v>80</v>
      </c>
      <c r="D103" s="6" t="s">
        <v>97</v>
      </c>
      <c r="E103" s="6" t="s">
        <v>85</v>
      </c>
      <c r="F103" s="14">
        <v>5</v>
      </c>
      <c r="G103" s="23">
        <v>1200</v>
      </c>
      <c r="H103" s="20">
        <f t="shared" si="5"/>
        <v>6000</v>
      </c>
      <c r="I103" s="45" t="s">
        <v>113</v>
      </c>
    </row>
    <row r="104" spans="2:9" s="7" customFormat="1" ht="17" customHeight="1" x14ac:dyDescent="0.35">
      <c r="B104" s="78">
        <v>7</v>
      </c>
      <c r="C104" s="67" t="s">
        <v>137</v>
      </c>
      <c r="D104" s="67" t="s">
        <v>138</v>
      </c>
      <c r="E104" s="67" t="s">
        <v>85</v>
      </c>
      <c r="F104" s="66">
        <v>30</v>
      </c>
      <c r="G104" s="71">
        <v>500</v>
      </c>
      <c r="H104" s="68">
        <f t="shared" ref="H104:H105" si="6">G104*F104</f>
        <v>15000</v>
      </c>
      <c r="I104" s="63" t="s">
        <v>114</v>
      </c>
    </row>
    <row r="105" spans="2:9" s="7" customFormat="1" ht="17" customHeight="1" x14ac:dyDescent="0.35">
      <c r="B105" s="78">
        <v>8</v>
      </c>
      <c r="C105" s="76" t="s">
        <v>137</v>
      </c>
      <c r="D105" s="85" t="s">
        <v>154</v>
      </c>
      <c r="E105" s="67" t="s">
        <v>85</v>
      </c>
      <c r="F105" s="66">
        <v>30</v>
      </c>
      <c r="G105" s="71">
        <v>500</v>
      </c>
      <c r="H105" s="68">
        <f t="shared" si="6"/>
        <v>15000</v>
      </c>
      <c r="I105" s="77" t="s">
        <v>114</v>
      </c>
    </row>
    <row r="106" spans="2:9" x14ac:dyDescent="0.3">
      <c r="B106" s="78">
        <v>9</v>
      </c>
      <c r="C106" s="4" t="s">
        <v>92</v>
      </c>
      <c r="D106" s="86" t="s">
        <v>106</v>
      </c>
      <c r="E106" s="4" t="s">
        <v>85</v>
      </c>
      <c r="F106" s="69">
        <v>6</v>
      </c>
      <c r="G106" s="70">
        <v>500</v>
      </c>
      <c r="H106" s="75">
        <f t="shared" si="5"/>
        <v>3000</v>
      </c>
      <c r="I106" s="65" t="s">
        <v>113</v>
      </c>
    </row>
    <row r="107" spans="2:9" x14ac:dyDescent="0.3">
      <c r="B107" s="78">
        <v>10</v>
      </c>
      <c r="C107" s="6" t="s">
        <v>107</v>
      </c>
      <c r="D107" s="6" t="s">
        <v>106</v>
      </c>
      <c r="E107" s="6" t="s">
        <v>83</v>
      </c>
      <c r="F107" s="69">
        <v>37400</v>
      </c>
      <c r="G107" s="70">
        <v>2</v>
      </c>
      <c r="H107" s="20">
        <f t="shared" si="5"/>
        <v>74800</v>
      </c>
      <c r="I107" s="45" t="s">
        <v>113</v>
      </c>
    </row>
    <row r="108" spans="2:9" x14ac:dyDescent="0.3">
      <c r="B108" s="78">
        <v>11</v>
      </c>
      <c r="C108" s="6" t="s">
        <v>108</v>
      </c>
      <c r="D108" s="6" t="s">
        <v>106</v>
      </c>
      <c r="E108" s="6" t="s">
        <v>109</v>
      </c>
      <c r="F108" s="14">
        <v>1</v>
      </c>
      <c r="G108" s="23">
        <v>3200</v>
      </c>
      <c r="H108" s="20">
        <f t="shared" si="5"/>
        <v>3200</v>
      </c>
      <c r="I108" s="45" t="s">
        <v>113</v>
      </c>
    </row>
    <row r="109" spans="2:9" s="7" customFormat="1" ht="17" customHeight="1" x14ac:dyDescent="0.35">
      <c r="B109" s="78">
        <v>12</v>
      </c>
      <c r="C109" s="76" t="s">
        <v>137</v>
      </c>
      <c r="D109" s="67" t="s">
        <v>155</v>
      </c>
      <c r="E109" s="67" t="s">
        <v>85</v>
      </c>
      <c r="F109" s="66">
        <v>30</v>
      </c>
      <c r="G109" s="71">
        <v>500</v>
      </c>
      <c r="H109" s="68">
        <f t="shared" si="5"/>
        <v>15000</v>
      </c>
      <c r="I109" s="77" t="s">
        <v>114</v>
      </c>
    </row>
    <row r="110" spans="2:9" x14ac:dyDescent="0.3">
      <c r="B110" s="78">
        <v>13</v>
      </c>
      <c r="C110" s="6" t="s">
        <v>139</v>
      </c>
      <c r="D110" s="6" t="s">
        <v>140</v>
      </c>
      <c r="E110" s="67" t="s">
        <v>85</v>
      </c>
      <c r="F110" s="14">
        <v>23</v>
      </c>
      <c r="G110" s="23">
        <v>500</v>
      </c>
      <c r="H110" s="20">
        <f t="shared" si="5"/>
        <v>11500</v>
      </c>
      <c r="I110" s="45" t="s">
        <v>113</v>
      </c>
    </row>
    <row r="111" spans="2:9" x14ac:dyDescent="0.3">
      <c r="B111" s="78">
        <v>14</v>
      </c>
      <c r="C111" s="6" t="s">
        <v>142</v>
      </c>
      <c r="D111" s="6" t="s">
        <v>141</v>
      </c>
      <c r="E111" s="67" t="s">
        <v>143</v>
      </c>
      <c r="F111" s="14">
        <v>7</v>
      </c>
      <c r="G111" s="23">
        <v>1500</v>
      </c>
      <c r="H111" s="20">
        <f t="shared" si="5"/>
        <v>10500</v>
      </c>
      <c r="I111" s="45" t="s">
        <v>113</v>
      </c>
    </row>
    <row r="112" spans="2:9" x14ac:dyDescent="0.3">
      <c r="B112" s="78">
        <v>15</v>
      </c>
      <c r="C112" s="6" t="s">
        <v>142</v>
      </c>
      <c r="D112" s="6" t="s">
        <v>145</v>
      </c>
      <c r="E112" s="67" t="s">
        <v>143</v>
      </c>
      <c r="F112" s="14">
        <v>7</v>
      </c>
      <c r="G112" s="23">
        <v>1500</v>
      </c>
      <c r="H112" s="20">
        <f t="shared" si="5"/>
        <v>10500</v>
      </c>
      <c r="I112" s="45" t="s">
        <v>113</v>
      </c>
    </row>
    <row r="113" spans="2:11" x14ac:dyDescent="0.3">
      <c r="B113" s="78">
        <v>16</v>
      </c>
      <c r="C113" s="6" t="s">
        <v>146</v>
      </c>
      <c r="D113" s="6" t="s">
        <v>147</v>
      </c>
      <c r="E113" s="6" t="s">
        <v>85</v>
      </c>
      <c r="F113" s="14">
        <v>6</v>
      </c>
      <c r="G113" s="23">
        <v>1200</v>
      </c>
      <c r="H113" s="20">
        <f t="shared" si="5"/>
        <v>7200</v>
      </c>
      <c r="I113" s="84">
        <v>3600</v>
      </c>
    </row>
    <row r="114" spans="2:11" x14ac:dyDescent="0.3">
      <c r="B114" s="78">
        <v>17</v>
      </c>
      <c r="C114" s="6" t="s">
        <v>77</v>
      </c>
      <c r="D114" s="6" t="s">
        <v>148</v>
      </c>
      <c r="E114" s="6" t="s">
        <v>85</v>
      </c>
      <c r="F114" s="14">
        <v>1</v>
      </c>
      <c r="G114" s="23">
        <v>1200</v>
      </c>
      <c r="H114" s="20">
        <f t="shared" si="5"/>
        <v>1200</v>
      </c>
      <c r="I114" s="84">
        <v>2400</v>
      </c>
    </row>
    <row r="115" spans="2:11" x14ac:dyDescent="0.3">
      <c r="B115" s="78">
        <v>18</v>
      </c>
      <c r="C115" s="6" t="s">
        <v>78</v>
      </c>
      <c r="D115" s="6" t="s">
        <v>148</v>
      </c>
      <c r="E115" s="6" t="s">
        <v>85</v>
      </c>
      <c r="F115" s="14">
        <v>1</v>
      </c>
      <c r="G115" s="23">
        <v>700</v>
      </c>
      <c r="H115" s="20">
        <f t="shared" si="5"/>
        <v>700</v>
      </c>
      <c r="I115" s="74" t="s">
        <v>114</v>
      </c>
    </row>
    <row r="116" spans="2:11" x14ac:dyDescent="0.3">
      <c r="B116" s="78">
        <v>19</v>
      </c>
      <c r="C116" s="6" t="s">
        <v>80</v>
      </c>
      <c r="D116" s="6" t="s">
        <v>148</v>
      </c>
      <c r="E116" s="6" t="s">
        <v>85</v>
      </c>
      <c r="F116" s="14">
        <v>2</v>
      </c>
      <c r="G116" s="23">
        <v>1200</v>
      </c>
      <c r="H116" s="20">
        <f t="shared" si="5"/>
        <v>2400</v>
      </c>
      <c r="I116" s="74" t="s">
        <v>114</v>
      </c>
    </row>
    <row r="117" spans="2:11" x14ac:dyDescent="0.3">
      <c r="B117" s="78">
        <v>20</v>
      </c>
      <c r="C117" s="6" t="s">
        <v>79</v>
      </c>
      <c r="D117" s="6" t="s">
        <v>148</v>
      </c>
      <c r="E117" s="6" t="s">
        <v>85</v>
      </c>
      <c r="F117" s="14">
        <v>1</v>
      </c>
      <c r="G117" s="23">
        <v>1200</v>
      </c>
      <c r="H117" s="20">
        <f t="shared" si="5"/>
        <v>1200</v>
      </c>
      <c r="I117" s="74" t="s">
        <v>114</v>
      </c>
    </row>
    <row r="118" spans="2:11" x14ac:dyDescent="0.3">
      <c r="B118" s="78">
        <v>21</v>
      </c>
      <c r="C118" s="6" t="s">
        <v>82</v>
      </c>
      <c r="D118" s="6" t="s">
        <v>148</v>
      </c>
      <c r="E118" s="6" t="s">
        <v>85</v>
      </c>
      <c r="F118" s="14">
        <v>1</v>
      </c>
      <c r="G118" s="23">
        <v>700</v>
      </c>
      <c r="H118" s="20">
        <f t="shared" si="5"/>
        <v>700</v>
      </c>
      <c r="I118" s="74" t="s">
        <v>114</v>
      </c>
    </row>
    <row r="119" spans="2:11" s="7" customFormat="1" ht="17" customHeight="1" x14ac:dyDescent="0.35">
      <c r="B119" s="78">
        <v>22</v>
      </c>
      <c r="C119" s="67" t="s">
        <v>137</v>
      </c>
      <c r="D119" s="67" t="s">
        <v>158</v>
      </c>
      <c r="E119" s="67" t="s">
        <v>85</v>
      </c>
      <c r="F119" s="66">
        <v>12</v>
      </c>
      <c r="G119" s="71">
        <v>500</v>
      </c>
      <c r="H119" s="68">
        <f t="shared" si="5"/>
        <v>6000</v>
      </c>
      <c r="I119" s="63" t="s">
        <v>114</v>
      </c>
    </row>
    <row r="120" spans="2:11" x14ac:dyDescent="0.3">
      <c r="B120" s="78">
        <v>23</v>
      </c>
      <c r="C120" s="6" t="s">
        <v>151</v>
      </c>
      <c r="D120" s="18">
        <v>45391</v>
      </c>
      <c r="E120" s="6" t="s">
        <v>85</v>
      </c>
      <c r="F120" s="14">
        <v>5</v>
      </c>
      <c r="G120" s="23">
        <v>500</v>
      </c>
      <c r="H120" s="20">
        <f t="shared" si="5"/>
        <v>2500</v>
      </c>
      <c r="I120" s="74" t="s">
        <v>114</v>
      </c>
    </row>
    <row r="121" spans="2:11" x14ac:dyDescent="0.3">
      <c r="B121" s="78">
        <v>24</v>
      </c>
      <c r="C121" s="6" t="s">
        <v>80</v>
      </c>
      <c r="D121" s="18">
        <v>45391</v>
      </c>
      <c r="E121" s="6" t="s">
        <v>85</v>
      </c>
      <c r="F121" s="14">
        <v>1</v>
      </c>
      <c r="G121" s="23">
        <v>1200</v>
      </c>
      <c r="H121" s="20">
        <f t="shared" si="5"/>
        <v>1200</v>
      </c>
      <c r="I121" s="74" t="s">
        <v>114</v>
      </c>
    </row>
    <row r="122" spans="2:11" x14ac:dyDescent="0.3">
      <c r="B122" s="78">
        <v>25</v>
      </c>
      <c r="C122" s="6" t="s">
        <v>152</v>
      </c>
      <c r="D122" s="18">
        <v>45421</v>
      </c>
      <c r="E122" s="6" t="s">
        <v>85</v>
      </c>
      <c r="F122" s="14">
        <v>8</v>
      </c>
      <c r="G122" s="23">
        <v>500</v>
      </c>
      <c r="H122" s="20">
        <f t="shared" si="5"/>
        <v>4000</v>
      </c>
      <c r="I122" s="74" t="s">
        <v>114</v>
      </c>
    </row>
    <row r="123" spans="2:11" x14ac:dyDescent="0.3">
      <c r="B123" s="78">
        <v>26</v>
      </c>
      <c r="C123" s="6" t="s">
        <v>153</v>
      </c>
      <c r="D123" s="18">
        <v>45421</v>
      </c>
      <c r="E123" s="6" t="s">
        <v>85</v>
      </c>
      <c r="F123" s="14">
        <v>3</v>
      </c>
      <c r="G123" s="23">
        <v>500</v>
      </c>
      <c r="H123" s="20">
        <f t="shared" si="5"/>
        <v>1500</v>
      </c>
      <c r="I123" s="74" t="s">
        <v>114</v>
      </c>
      <c r="K123" s="4">
        <f>148900+82600</f>
        <v>231500</v>
      </c>
    </row>
    <row r="124" spans="2:11" ht="14.5" thickBot="1" x14ac:dyDescent="0.35">
      <c r="B124" s="5"/>
      <c r="C124" s="6"/>
      <c r="D124" s="6"/>
      <c r="E124" s="6"/>
      <c r="F124" s="14"/>
      <c r="G124" s="23"/>
      <c r="H124" s="20"/>
      <c r="I124" s="31"/>
    </row>
    <row r="125" spans="2:11" ht="19.5" customHeight="1" thickTop="1" thickBot="1" x14ac:dyDescent="0.35">
      <c r="B125" s="94" t="s">
        <v>17</v>
      </c>
      <c r="C125" s="95"/>
      <c r="D125" s="95"/>
      <c r="E125" s="95"/>
      <c r="F125" s="95"/>
      <c r="G125" s="95"/>
      <c r="H125" s="88">
        <f>SUM(H98:H124)</f>
        <v>231500</v>
      </c>
      <c r="I125" s="32"/>
    </row>
    <row r="126" spans="2:11" ht="19.5" customHeight="1" thickTop="1" thickBot="1" x14ac:dyDescent="0.35">
      <c r="B126" s="92" t="s">
        <v>170</v>
      </c>
      <c r="C126" s="93"/>
      <c r="D126" s="93"/>
      <c r="E126" s="93"/>
      <c r="F126" s="93"/>
      <c r="G126" s="93"/>
      <c r="H126" s="89">
        <f>SUM(H99:H103,H106:H108,H110:H112,I113:I114)</f>
        <v>148900</v>
      </c>
      <c r="I126" s="51"/>
    </row>
    <row r="127" spans="2:11" ht="19.5" customHeight="1" thickTop="1" thickBot="1" x14ac:dyDescent="0.35">
      <c r="B127" s="92" t="s">
        <v>171</v>
      </c>
      <c r="C127" s="93"/>
      <c r="D127" s="93"/>
      <c r="E127" s="93"/>
      <c r="F127" s="93"/>
      <c r="G127" s="93"/>
      <c r="H127" s="90">
        <f>H125-H126</f>
        <v>82600</v>
      </c>
      <c r="I127" s="51"/>
    </row>
    <row r="128" spans="2:11" ht="21.5" customHeight="1" thickTop="1" thickBot="1" x14ac:dyDescent="0.35">
      <c r="B128" s="99" t="s">
        <v>131</v>
      </c>
      <c r="C128" s="100"/>
      <c r="D128" s="100"/>
      <c r="E128" s="100"/>
      <c r="F128" s="100"/>
      <c r="G128" s="100"/>
      <c r="H128" s="100"/>
      <c r="I128" s="101"/>
    </row>
    <row r="129" spans="2:9" ht="31.5" customHeight="1" thickTop="1" thickBot="1" x14ac:dyDescent="0.35">
      <c r="B129" s="8" t="s">
        <v>4</v>
      </c>
      <c r="C129" s="9" t="s">
        <v>88</v>
      </c>
      <c r="D129" s="9" t="s">
        <v>86</v>
      </c>
      <c r="E129" s="9" t="s">
        <v>1</v>
      </c>
      <c r="F129" s="13" t="s">
        <v>0</v>
      </c>
      <c r="G129" s="21" t="s">
        <v>12</v>
      </c>
      <c r="H129" s="25" t="s">
        <v>15</v>
      </c>
      <c r="I129" s="80" t="s">
        <v>111</v>
      </c>
    </row>
    <row r="130" spans="2:9" ht="14.5" thickTop="1" x14ac:dyDescent="0.3">
      <c r="B130" s="5">
        <v>1</v>
      </c>
      <c r="C130" s="6" t="s">
        <v>84</v>
      </c>
      <c r="D130" s="6" t="s">
        <v>110</v>
      </c>
      <c r="E130" s="6"/>
      <c r="F130" s="14"/>
      <c r="G130" s="23"/>
      <c r="H130" s="20">
        <v>2700</v>
      </c>
      <c r="I130" s="45" t="s">
        <v>113</v>
      </c>
    </row>
    <row r="131" spans="2:9" x14ac:dyDescent="0.3">
      <c r="B131" s="5">
        <v>2</v>
      </c>
      <c r="C131" s="6" t="s">
        <v>95</v>
      </c>
      <c r="D131" s="18">
        <v>45512</v>
      </c>
      <c r="E131" s="6" t="s">
        <v>104</v>
      </c>
      <c r="F131" s="14">
        <v>1</v>
      </c>
      <c r="G131" s="23">
        <v>700</v>
      </c>
      <c r="H131" s="20">
        <f>G131*F131</f>
        <v>700</v>
      </c>
      <c r="I131" s="45" t="s">
        <v>114</v>
      </c>
    </row>
    <row r="132" spans="2:9" x14ac:dyDescent="0.3">
      <c r="B132" s="5">
        <v>3</v>
      </c>
      <c r="C132" s="6" t="s">
        <v>95</v>
      </c>
      <c r="D132" s="6" t="s">
        <v>96</v>
      </c>
      <c r="E132" s="6" t="s">
        <v>104</v>
      </c>
      <c r="F132" s="14">
        <v>1</v>
      </c>
      <c r="G132" s="23">
        <v>700</v>
      </c>
      <c r="H132" s="20">
        <f t="shared" ref="H132:H135" si="7">G132*F132</f>
        <v>700</v>
      </c>
      <c r="I132" s="45" t="s">
        <v>113</v>
      </c>
    </row>
    <row r="133" spans="2:9" x14ac:dyDescent="0.3">
      <c r="B133" s="5">
        <v>4</v>
      </c>
      <c r="C133" s="6" t="s">
        <v>95</v>
      </c>
      <c r="D133" s="6" t="s">
        <v>140</v>
      </c>
      <c r="E133" s="6" t="s">
        <v>104</v>
      </c>
      <c r="F133" s="14">
        <v>2</v>
      </c>
      <c r="G133" s="23">
        <v>700</v>
      </c>
      <c r="H133" s="20">
        <f t="shared" si="7"/>
        <v>1400</v>
      </c>
      <c r="I133" s="45" t="s">
        <v>113</v>
      </c>
    </row>
    <row r="134" spans="2:9" x14ac:dyDescent="0.3">
      <c r="B134" s="5">
        <v>5</v>
      </c>
      <c r="C134" s="6" t="s">
        <v>95</v>
      </c>
      <c r="D134" s="6" t="s">
        <v>148</v>
      </c>
      <c r="E134" s="6" t="s">
        <v>104</v>
      </c>
      <c r="F134" s="14">
        <v>1</v>
      </c>
      <c r="G134" s="23">
        <v>500</v>
      </c>
      <c r="H134" s="20">
        <f t="shared" si="7"/>
        <v>500</v>
      </c>
      <c r="I134" s="38" t="s">
        <v>114</v>
      </c>
    </row>
    <row r="135" spans="2:9" ht="14.5" thickBot="1" x14ac:dyDescent="0.35">
      <c r="B135" s="5">
        <v>6</v>
      </c>
      <c r="C135" s="6" t="s">
        <v>159</v>
      </c>
      <c r="D135" s="18">
        <v>45421</v>
      </c>
      <c r="E135" s="6" t="s">
        <v>160</v>
      </c>
      <c r="F135" s="14">
        <v>1</v>
      </c>
      <c r="G135" s="23">
        <v>8000</v>
      </c>
      <c r="H135" s="20">
        <f t="shared" si="7"/>
        <v>8000</v>
      </c>
      <c r="I135" s="38" t="s">
        <v>114</v>
      </c>
    </row>
    <row r="136" spans="2:9" ht="16.5" thickTop="1" thickBot="1" x14ac:dyDescent="0.35">
      <c r="B136" s="94" t="s">
        <v>102</v>
      </c>
      <c r="C136" s="95"/>
      <c r="D136" s="95"/>
      <c r="E136" s="95"/>
      <c r="F136" s="95"/>
      <c r="G136" s="95"/>
      <c r="H136" s="88">
        <f>SUM(H130:H135)</f>
        <v>14000</v>
      </c>
      <c r="I136" s="32"/>
    </row>
    <row r="137" spans="2:9" ht="18" customHeight="1" thickTop="1" thickBot="1" x14ac:dyDescent="0.35">
      <c r="B137" s="99" t="s">
        <v>161</v>
      </c>
      <c r="C137" s="100"/>
      <c r="D137" s="100"/>
      <c r="E137" s="100"/>
      <c r="F137" s="100"/>
      <c r="G137" s="100"/>
      <c r="H137" s="100"/>
      <c r="I137" s="101"/>
    </row>
    <row r="138" spans="2:9" ht="30" customHeight="1" thickTop="1" thickBot="1" x14ac:dyDescent="0.35">
      <c r="B138" s="8" t="s">
        <v>4</v>
      </c>
      <c r="C138" s="9" t="s">
        <v>88</v>
      </c>
      <c r="D138" s="9" t="s">
        <v>86</v>
      </c>
      <c r="E138" s="9" t="s">
        <v>1</v>
      </c>
      <c r="F138" s="13" t="s">
        <v>0</v>
      </c>
      <c r="G138" s="21" t="s">
        <v>12</v>
      </c>
      <c r="H138" s="25" t="s">
        <v>15</v>
      </c>
      <c r="I138" s="80" t="s">
        <v>111</v>
      </c>
    </row>
    <row r="139" spans="2:9" ht="14.5" thickTop="1" x14ac:dyDescent="0.3">
      <c r="B139" s="5">
        <v>1</v>
      </c>
      <c r="C139" s="6" t="s">
        <v>162</v>
      </c>
      <c r="D139" s="18">
        <v>45421</v>
      </c>
      <c r="E139" s="6" t="s">
        <v>89</v>
      </c>
      <c r="F139" s="14">
        <v>30</v>
      </c>
      <c r="G139" s="79">
        <v>3500</v>
      </c>
      <c r="H139" s="82">
        <f>G139*F139</f>
        <v>105000</v>
      </c>
      <c r="I139" s="45" t="s">
        <v>113</v>
      </c>
    </row>
    <row r="140" spans="2:9" ht="14.5" x14ac:dyDescent="0.35">
      <c r="B140" s="5">
        <v>2</v>
      </c>
      <c r="C140" s="6" t="s">
        <v>165</v>
      </c>
      <c r="D140" s="18" t="s">
        <v>164</v>
      </c>
      <c r="E140" s="6" t="s">
        <v>24</v>
      </c>
      <c r="F140" s="14">
        <v>20000</v>
      </c>
      <c r="G140" s="79">
        <v>1.43</v>
      </c>
      <c r="H140" s="82">
        <f>G140*F140</f>
        <v>28600</v>
      </c>
      <c r="I140" s="91" t="s">
        <v>163</v>
      </c>
    </row>
    <row r="141" spans="2:9" ht="14.5" x14ac:dyDescent="0.35">
      <c r="B141" s="5">
        <v>3</v>
      </c>
      <c r="C141" s="6" t="s">
        <v>166</v>
      </c>
      <c r="D141" s="18" t="s">
        <v>164</v>
      </c>
      <c r="E141" s="6" t="s">
        <v>24</v>
      </c>
      <c r="F141" s="14">
        <v>20000</v>
      </c>
      <c r="G141" s="79">
        <v>2</v>
      </c>
      <c r="H141" s="82">
        <f>G141*F141</f>
        <v>40000</v>
      </c>
      <c r="I141" s="91" t="s">
        <v>163</v>
      </c>
    </row>
    <row r="142" spans="2:9" ht="15" thickBot="1" x14ac:dyDescent="0.4">
      <c r="B142" s="5">
        <v>4</v>
      </c>
      <c r="C142" s="6" t="s">
        <v>81</v>
      </c>
      <c r="D142" s="18" t="s">
        <v>164</v>
      </c>
      <c r="E142" s="6" t="s">
        <v>24</v>
      </c>
      <c r="F142" s="14">
        <v>32</v>
      </c>
      <c r="G142" s="79">
        <v>50</v>
      </c>
      <c r="H142" s="82">
        <f>G142*F142</f>
        <v>1600</v>
      </c>
      <c r="I142" s="91" t="s">
        <v>163</v>
      </c>
    </row>
    <row r="143" spans="2:9" ht="16.5" thickTop="1" thickBot="1" x14ac:dyDescent="0.35">
      <c r="B143" s="94" t="s">
        <v>102</v>
      </c>
      <c r="C143" s="95"/>
      <c r="D143" s="95"/>
      <c r="E143" s="95"/>
      <c r="F143" s="95"/>
      <c r="G143" s="95"/>
      <c r="H143" s="88">
        <f>SUM(H139:H142)</f>
        <v>175200</v>
      </c>
      <c r="I143" s="32"/>
    </row>
    <row r="144" spans="2:9" ht="29.5" customHeight="1" thickTop="1" thickBot="1" x14ac:dyDescent="0.35">
      <c r="B144" s="118" t="s">
        <v>167</v>
      </c>
      <c r="C144" s="119"/>
      <c r="D144" s="119"/>
      <c r="E144" s="119"/>
      <c r="F144" s="119"/>
      <c r="G144" s="119"/>
      <c r="H144" s="26">
        <f>SUM(H95,H125,H136,H143)</f>
        <v>880875</v>
      </c>
      <c r="I144" s="33"/>
    </row>
    <row r="145" spans="2:12" ht="20" customHeight="1" thickTop="1" thickBot="1" x14ac:dyDescent="0.35">
      <c r="B145" s="114" t="s">
        <v>129</v>
      </c>
      <c r="C145" s="115"/>
      <c r="D145" s="115"/>
      <c r="E145" s="115"/>
      <c r="F145" s="115"/>
      <c r="G145" s="115"/>
      <c r="H145" s="46">
        <f>SUM(H130,H106:H108,H82:H85,H26:H73,H74:H81,H24,H25,H90,H91,H92,H21:H23,H5:H20,H99:H103,H132:H133,H139,H110:H112,I113:I114,I93,I86)</f>
        <v>707145</v>
      </c>
      <c r="I145" s="29"/>
      <c r="J145" s="83">
        <f>SUM(H133,H132,H110:H112,H108,H83:H85,H74:H80,H21:H22)</f>
        <v>60700</v>
      </c>
      <c r="K145" s="4">
        <v>28600</v>
      </c>
      <c r="L145" s="83">
        <f>SUM(J145:K145)</f>
        <v>89300</v>
      </c>
    </row>
    <row r="146" spans="2:12" ht="22.5" customHeight="1" thickTop="1" thickBot="1" x14ac:dyDescent="0.35">
      <c r="B146" s="116" t="s">
        <v>130</v>
      </c>
      <c r="C146" s="117"/>
      <c r="D146" s="117"/>
      <c r="E146" s="117"/>
      <c r="F146" s="117"/>
      <c r="G146" s="117"/>
      <c r="H146" s="42">
        <f>H144-H145</f>
        <v>173730</v>
      </c>
      <c r="I146" s="30"/>
    </row>
    <row r="147" spans="2:12" ht="14.5" thickTop="1" x14ac:dyDescent="0.3">
      <c r="B147" s="47"/>
      <c r="C147" s="61" t="s">
        <v>126</v>
      </c>
      <c r="D147" s="48"/>
      <c r="E147" s="48"/>
      <c r="F147" s="49"/>
      <c r="G147" s="50"/>
      <c r="H147" s="48"/>
      <c r="I147" s="51"/>
    </row>
    <row r="148" spans="2:12" x14ac:dyDescent="0.3">
      <c r="B148" s="52"/>
      <c r="C148" s="59"/>
      <c r="D148" s="4" t="s">
        <v>127</v>
      </c>
      <c r="I148" s="53"/>
    </row>
    <row r="149" spans="2:12" x14ac:dyDescent="0.3">
      <c r="B149" s="52"/>
      <c r="C149" s="60"/>
      <c r="D149" s="4" t="s">
        <v>128</v>
      </c>
      <c r="I149" s="53"/>
    </row>
    <row r="150" spans="2:12" x14ac:dyDescent="0.3">
      <c r="B150" s="52"/>
      <c r="C150" s="81"/>
      <c r="D150" s="4" t="s">
        <v>163</v>
      </c>
      <c r="I150" s="53"/>
    </row>
    <row r="151" spans="2:12" x14ac:dyDescent="0.3">
      <c r="B151" s="52"/>
      <c r="C151" s="64"/>
      <c r="D151" s="4" t="s">
        <v>169</v>
      </c>
      <c r="I151" s="53"/>
    </row>
    <row r="152" spans="2:12" ht="14.5" thickBot="1" x14ac:dyDescent="0.35">
      <c r="B152" s="54"/>
      <c r="C152" s="55"/>
      <c r="D152" s="55"/>
      <c r="E152" s="55"/>
      <c r="F152" s="56"/>
      <c r="G152" s="57"/>
      <c r="H152" s="55"/>
      <c r="I152" s="58"/>
    </row>
    <row r="153" spans="2:12" ht="14.5" thickTop="1" x14ac:dyDescent="0.3"/>
  </sheetData>
  <mergeCells count="20">
    <mergeCell ref="B145:G145"/>
    <mergeCell ref="B146:G146"/>
    <mergeCell ref="B144:G144"/>
    <mergeCell ref="B136:G136"/>
    <mergeCell ref="B128:I128"/>
    <mergeCell ref="B137:I137"/>
    <mergeCell ref="B143:G143"/>
    <mergeCell ref="B126:G126"/>
    <mergeCell ref="B127:G127"/>
    <mergeCell ref="B95:G95"/>
    <mergeCell ref="B125:G125"/>
    <mergeCell ref="B2:I2"/>
    <mergeCell ref="B3:I3"/>
    <mergeCell ref="B96:I96"/>
    <mergeCell ref="D86:D88"/>
    <mergeCell ref="E86:E88"/>
    <mergeCell ref="F86:F88"/>
    <mergeCell ref="G86:G88"/>
    <mergeCell ref="H86:H88"/>
    <mergeCell ref="I86:I89"/>
  </mergeCells>
  <phoneticPr fontId="11" type="noConversion"/>
  <conditionalFormatting sqref="I1:I86 I90:I95 I97:I127 I129:I136 I138:I139">
    <cfRule type="cellIs" dxfId="1" priority="2" operator="equal">
      <formula>"Unpaid"</formula>
    </cfRule>
  </conditionalFormatting>
  <conditionalFormatting sqref="I143:I1048576">
    <cfRule type="cellIs" dxfId="0" priority="1" operator="equal">
      <formula>"Unpaid"</formula>
    </cfRule>
  </conditionalFormatting>
  <pageMargins left="0.7" right="0.7" top="0.75" bottom="0.75" header="0.3" footer="0.3"/>
  <pageSetup scale="61" orientation="portrait" r:id="rId1"/>
  <ignoredErrors>
    <ignoredError sqref="H55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8A2D5C-F863-49BD-903A-91D2D5D08054}">
          <x14:formula1>
            <xm:f>Dropdown!$C$3:$C$5</xm:f>
          </x14:formula1>
          <xm:sqref>I139:I143 I130:I136 I94 I5:I85 I90:I92 I98:I112 I115:I123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B1B2-BCE5-4F95-930C-493D12416A9F}">
  <dimension ref="C2:C5"/>
  <sheetViews>
    <sheetView workbookViewId="0">
      <selection activeCell="H16" sqref="H16"/>
    </sheetView>
  </sheetViews>
  <sheetFormatPr defaultRowHeight="14.5" x14ac:dyDescent="0.35"/>
  <cols>
    <col min="3" max="3" width="10.81640625" customWidth="1"/>
  </cols>
  <sheetData>
    <row r="2" spans="3:3" x14ac:dyDescent="0.35">
      <c r="C2" s="28" t="s">
        <v>112</v>
      </c>
    </row>
    <row r="3" spans="3:3" x14ac:dyDescent="0.35">
      <c r="C3" s="27" t="s">
        <v>113</v>
      </c>
    </row>
    <row r="4" spans="3:3" x14ac:dyDescent="0.35">
      <c r="C4" s="27" t="s">
        <v>114</v>
      </c>
    </row>
    <row r="5" spans="3:3" x14ac:dyDescent="0.35">
      <c r="C5" s="2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 Page</vt:lpstr>
      <vt:lpstr>Costs - Updated</vt:lpstr>
      <vt:lpstr>Dropdown</vt:lpstr>
      <vt:lpstr>'Costs - Updated'!Print_Area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N. Munene</dc:creator>
  <cp:lastModifiedBy>Mark N. Munene</cp:lastModifiedBy>
  <dcterms:created xsi:type="dcterms:W3CDTF">2024-08-26T13:57:04Z</dcterms:created>
  <dcterms:modified xsi:type="dcterms:W3CDTF">2024-10-01T01:17:43Z</dcterms:modified>
</cp:coreProperties>
</file>